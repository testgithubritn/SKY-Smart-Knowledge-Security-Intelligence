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cidents" sheetId="2" state="visible" r:id="rId2"/>
    <sheet xmlns:r="http://schemas.openxmlformats.org/officeDocument/2006/relationships" name="RAG Evidence" sheetId="3" state="visible" r:id="rId3"/>
    <sheet xmlns:r="http://schemas.openxmlformats.org/officeDocument/2006/relationships" name="Categories" sheetId="4" state="visible" r:id="rId4"/>
  </sheets>
  <definedNames>
    <definedName name="_xlnm._FilterDatabase" localSheetId="1" hidden="1">'Incidents'!$B$4:$S$54</definedName>
    <definedName name="_xlnm.Print_Titles" localSheetId="1">'Incidents'!$4:$4</definedName>
    <definedName name="_xlnm._FilterDatabase" localSheetId="2" hidden="1">'RAG Evidence'!$B$4:$F$110</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Noto Sans CJK SC"/>
      <color rgb="001B2A4A"/>
      <sz val="16"/>
    </font>
    <font>
      <name val="Noto Sans CJK SC"/>
      <color rgb="001B2A4A"/>
      <sz val="11"/>
    </font>
    <font>
      <name val="Noto Sans CJK SC"/>
      <color rgb="00FFFFFF"/>
      <sz val="11"/>
    </font>
    <font>
      <name val="Noto Sans CJK SC"/>
      <color rgb="0037352F"/>
      <sz val="11"/>
    </font>
    <font>
      <name val="Noto Sans CJK SC"/>
      <color rgb="001B2A4A"/>
      <sz val="12"/>
    </font>
  </fonts>
  <fills count="9">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
      <patternFill>
        <bgColor rgb="00FDEDEC"/>
      </patternFill>
    </fill>
    <fill>
      <patternFill>
        <bgColor rgb="00FEF0E7"/>
      </patternFill>
    </fill>
    <fill>
      <patternFill>
        <bgColor rgb="00FEF9E7"/>
      </patternFill>
    </fill>
    <fill>
      <patternFill>
        <bgColor rgb="00E8F5E9"/>
      </patternFill>
    </fill>
  </fills>
  <borders count="2">
    <border>
      <left/>
      <right/>
      <top/>
      <bottom/>
      <diagonal/>
    </border>
    <border>
      <bottom style="thin">
        <color rgb="00E9E9E8"/>
      </bottom>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left" vertical="center"/>
    </xf>
    <xf numFmtId="0" fontId="3" fillId="2" borderId="0" applyAlignment="1" pivotButton="0" quotePrefix="0" xfId="0">
      <alignment horizontal="center" vertical="center" wrapText="1"/>
    </xf>
    <xf numFmtId="0" fontId="4" fillId="3" borderId="0" applyAlignment="1" pivotButton="0" quotePrefix="0" xfId="0">
      <alignment horizontal="left" vertical="center"/>
    </xf>
    <xf numFmtId="0" fontId="5" fillId="3" borderId="0" applyAlignment="1" pivotButton="0" quotePrefix="0" xfId="0">
      <alignment horizontal="left" vertical="center"/>
    </xf>
    <xf numFmtId="0" fontId="4" fillId="4" borderId="0" applyAlignment="1" pivotButton="0" quotePrefix="0" xfId="0">
      <alignment horizontal="left" vertical="center"/>
    </xf>
    <xf numFmtId="0" fontId="5" fillId="4" borderId="0" applyAlignment="1" pivotButton="0" quotePrefix="0" xfId="0">
      <alignment horizontal="left" vertical="center"/>
    </xf>
    <xf numFmtId="0" fontId="2" fillId="0" borderId="0" pivotButton="0" quotePrefix="0" xfId="0"/>
    <xf numFmtId="0" fontId="4" fillId="5" borderId="0" applyAlignment="1" pivotButton="0" quotePrefix="0" xfId="0">
      <alignment horizontal="left" vertical="center"/>
    </xf>
    <xf numFmtId="0" fontId="4" fillId="3" borderId="0" applyAlignment="1" pivotButton="0" quotePrefix="0" xfId="0">
      <alignment horizontal="right" vertical="center"/>
    </xf>
    <xf numFmtId="164" fontId="4" fillId="3" borderId="0" applyAlignment="1" pivotButton="0" quotePrefix="0" xfId="0">
      <alignment horizontal="right" vertical="center"/>
    </xf>
    <xf numFmtId="0" fontId="4" fillId="6" borderId="0" applyAlignment="1" pivotButton="0" quotePrefix="0" xfId="0">
      <alignment horizontal="left" vertical="center"/>
    </xf>
    <xf numFmtId="0" fontId="4" fillId="4" borderId="0" applyAlignment="1" pivotButton="0" quotePrefix="0" xfId="0">
      <alignment horizontal="right" vertical="center"/>
    </xf>
    <xf numFmtId="164" fontId="4" fillId="4" borderId="0" applyAlignment="1" pivotButton="0" quotePrefix="0" xfId="0">
      <alignment horizontal="right" vertical="center"/>
    </xf>
    <xf numFmtId="0" fontId="4" fillId="7" borderId="0" applyAlignment="1" pivotButton="0" quotePrefix="0" xfId="0">
      <alignment horizontal="left" vertical="center"/>
    </xf>
    <xf numFmtId="0" fontId="4" fillId="8" borderId="0" applyAlignment="1" pivotButton="0" quotePrefix="0" xfId="0">
      <alignment horizontal="left" vertical="center"/>
    </xf>
    <xf numFmtId="0" fontId="3" fillId="2" borderId="1" applyAlignment="1" pivotButton="0" quotePrefix="0" xfId="0">
      <alignment horizontal="center" vertical="center" wrapText="1"/>
    </xf>
    <xf numFmtId="0" fontId="4" fillId="3" borderId="0" pivotButton="0" quotePrefix="0" xfId="0"/>
    <xf numFmtId="0" fontId="4" fillId="3" borderId="0" applyAlignment="1" pivotButton="0" quotePrefix="0" xfId="0">
      <alignment horizontal="center" vertical="center"/>
    </xf>
    <xf numFmtId="0" fontId="4" fillId="3" borderId="0" applyAlignment="1" pivotButton="0" quotePrefix="0" xfId="0">
      <alignment horizontal="left" vertical="center" wrapText="1"/>
    </xf>
    <xf numFmtId="9" fontId="4" fillId="3" borderId="0" applyAlignment="1" pivotButton="0" quotePrefix="0" xfId="0">
      <alignment horizontal="center" vertical="center"/>
    </xf>
    <xf numFmtId="0" fontId="4" fillId="3" borderId="0" applyAlignment="1" pivotButton="0" quotePrefix="0" xfId="0">
      <alignment horizontal="left" vertical="top" wrapText="1"/>
    </xf>
    <xf numFmtId="0" fontId="4" fillId="4" borderId="0" pivotButton="0" quotePrefix="0" xfId="0"/>
    <xf numFmtId="0" fontId="4" fillId="4" borderId="0" applyAlignment="1" pivotButton="0" quotePrefix="0" xfId="0">
      <alignment horizontal="center" vertical="center"/>
    </xf>
    <xf numFmtId="0" fontId="4" fillId="4" borderId="0" applyAlignment="1" pivotButton="0" quotePrefix="0" xfId="0">
      <alignment horizontal="left" vertical="center" wrapText="1"/>
    </xf>
    <xf numFmtId="9" fontId="4" fillId="4" borderId="0" applyAlignment="1" pivotButton="0" quotePrefix="0" xfId="0">
      <alignment horizontal="center" vertical="center"/>
    </xf>
    <xf numFmtId="0" fontId="4" fillId="4" borderId="0" applyAlignment="1" pivotButton="0" quotePrefix="0" xfId="0">
      <alignment horizontal="left" vertical="top" wrapText="1"/>
    </xf>
    <xf numFmtId="9" fontId="4" fillId="3" borderId="0" applyAlignment="1" pivotButton="0" quotePrefix="0" xfId="0">
      <alignment horizontal="right" vertical="center"/>
    </xf>
    <xf numFmtId="9" fontId="4" fillId="4" borderId="0" applyAlignment="1" pivotButton="0" quotePrefix="0" xfId="0">
      <alignment horizontal="right" vertical="center"/>
    </xf>
  </cellXfs>
  <cellStyles count="1">
    <cellStyle name="Normal" xfId="0" builtinId="0" hidden="0"/>
  </cellStyles>
  <dxfs count="8">
    <dxf>
      <font>
        <name val="Noto Sans CJK SC"/>
        <color rgb="00C0392B"/>
      </font>
      <fill>
        <patternFill>
          <bgColor rgb="00FDEDEC"/>
        </patternFill>
      </fill>
    </dxf>
    <dxf>
      <font>
        <name val="Noto Sans CJK SC"/>
        <color rgb="00C0392B"/>
      </font>
      <fill>
        <patternFill>
          <bgColor rgb="00FEF0E7"/>
        </patternFill>
      </fill>
    </dxf>
    <dxf>
      <font>
        <name val="Noto Sans CJK SC"/>
        <color rgb="00D4820A"/>
      </font>
      <fill>
        <patternFill>
          <bgColor rgb="00FEF9E7"/>
        </patternFill>
      </fill>
    </dxf>
    <dxf>
      <font>
        <name val="Noto Sans CJK SC"/>
        <color rgb="001B7D46"/>
      </font>
      <fill>
        <patternFill>
          <bgColor rgb="00E8F5E9"/>
        </patternFill>
      </fill>
    </dxf>
    <dxf>
      <fill>
        <patternFill>
          <bgColor rgb="00F0F0F0"/>
        </patternFill>
      </fill>
    </dxf>
    <dxf>
      <fill>
        <patternFill>
          <bgColor rgb="00E8F5E9"/>
        </patternFill>
      </fill>
    </dxf>
    <dxf>
      <fill>
        <patternFill>
          <bgColor rgb="00FDEDEC"/>
        </patternFill>
      </fill>
    </dxf>
    <dxf>
      <fill>
        <patternFill>
          <bgColor rgb="00F3E8F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Risk Distribution</a:t>
            </a:r>
          </a:p>
        </rich>
      </tx>
    </title>
    <plotArea>
      <barChart>
        <barDir val="col"/>
        <grouping val="clustered"/>
        <ser>
          <idx val="0"/>
          <order val="0"/>
          <tx>
            <strRef>
              <f>'Summary'!C13</f>
            </strRef>
          </tx>
          <spPr>
            <a:ln xmlns:a="http://schemas.openxmlformats.org/drawingml/2006/main">
              <a:prstDash val="solid"/>
            </a:ln>
          </spPr>
          <cat>
            <numRef>
              <f>'Summary'!$B$14:$B$17</f>
            </numRef>
          </cat>
          <val>
            <numRef>
              <f>'Summary'!$C$14:$C$17</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Risk Level</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Incidents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11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G17"/>
  <sheetViews>
    <sheetView showGridLines="0" workbookViewId="0">
      <selection activeCell="A1" sqref="A1"/>
    </sheetView>
  </sheetViews>
  <sheetFormatPr baseColWidth="8" defaultRowHeight="15"/>
  <cols>
    <col width="3" customWidth="1" min="1" max="1"/>
    <col width="22" customWidth="1" min="2" max="2"/>
    <col width="14" customWidth="1" min="3" max="3"/>
    <col width="22" customWidth="1" min="4" max="4"/>
    <col width="14" customWidth="1" min="5" max="5"/>
    <col width="22" customWidth="1" min="6" max="6"/>
    <col width="14" customWidth="1" min="7" max="7"/>
  </cols>
  <sheetData>
    <row r="1" ht="15" customHeight="1"/>
    <row r="2" ht="32" customHeight="1">
      <c r="B2" s="1" t="inlineStr">
        <is>
          <t>SKY — Sample Incidents Dataset Summary</t>
        </is>
      </c>
    </row>
    <row r="3" ht="8" customHeight="1"/>
    <row r="4" ht="28" customHeight="1">
      <c r="B4" s="2" t="inlineStr">
        <is>
          <t>Metric</t>
        </is>
      </c>
      <c r="C4" s="2" t="inlineStr">
        <is>
          <t>Value</t>
        </is>
      </c>
      <c r="D4" s="2" t="inlineStr">
        <is>
          <t>Metric</t>
        </is>
      </c>
      <c r="E4" s="2" t="inlineStr">
        <is>
          <t>Value</t>
        </is>
      </c>
      <c r="F4" s="2" t="inlineStr">
        <is>
          <t>Metric</t>
        </is>
      </c>
      <c r="G4" s="2" t="inlineStr">
        <is>
          <t>Value</t>
        </is>
      </c>
    </row>
    <row r="5" ht="22" customHeight="1">
      <c r="B5" s="3" t="inlineStr">
        <is>
          <t>Total Incidents</t>
        </is>
      </c>
      <c r="C5" s="4" t="n">
        <v>50</v>
      </c>
      <c r="D5" s="3" t="inlineStr">
        <is>
          <t>Critical Risk</t>
        </is>
      </c>
      <c r="E5" s="4" t="n">
        <v>5</v>
      </c>
      <c r="F5" s="3" t="inlineStr">
        <is>
          <t>Image</t>
        </is>
      </c>
      <c r="G5" s="4" t="n">
        <v>19</v>
      </c>
    </row>
    <row r="6" ht="22" customHeight="1">
      <c r="B6" s="5" t="inlineStr">
        <is>
          <t>Pending Review</t>
        </is>
      </c>
      <c r="C6" s="6" t="n">
        <v>13</v>
      </c>
      <c r="D6" s="5" t="inlineStr">
        <is>
          <t>High Risk</t>
        </is>
      </c>
      <c r="E6" s="6" t="n">
        <v>12</v>
      </c>
      <c r="F6" s="5" t="inlineStr">
        <is>
          <t>Video</t>
        </is>
      </c>
      <c r="G6" s="6" t="n">
        <v>17</v>
      </c>
    </row>
    <row r="7" ht="22" customHeight="1">
      <c r="B7" s="3" t="inlineStr">
        <is>
          <t>Approved</t>
        </is>
      </c>
      <c r="C7" s="4" t="n">
        <v>23</v>
      </c>
      <c r="D7" s="3" t="inlineStr">
        <is>
          <t>Moderate Risk</t>
        </is>
      </c>
      <c r="E7" s="4" t="n">
        <v>18</v>
      </c>
      <c r="F7" s="3" t="inlineStr">
        <is>
          <t>Audio</t>
        </is>
      </c>
      <c r="G7" s="4" t="n">
        <v>14</v>
      </c>
    </row>
    <row r="8" ht="22" customHeight="1">
      <c r="B8" s="5" t="inlineStr">
        <is>
          <t>Rejected</t>
        </is>
      </c>
      <c r="C8" s="6" t="n">
        <v>7</v>
      </c>
      <c r="D8" s="5" t="inlineStr">
        <is>
          <t>Low Risk</t>
        </is>
      </c>
      <c r="E8" s="6" t="n">
        <v>15</v>
      </c>
      <c r="F8" s="5" t="inlineStr">
        <is>
          <t>Total Evidence</t>
        </is>
      </c>
      <c r="G8" s="6" t="n">
        <v>106</v>
      </c>
    </row>
    <row r="9" ht="22" customHeight="1">
      <c r="B9" s="3" t="inlineStr">
        <is>
          <t>Escalated</t>
        </is>
      </c>
      <c r="C9" s="4" t="n">
        <v>7</v>
      </c>
      <c r="D9" s="3" t="inlineStr">
        <is>
          <t>—</t>
        </is>
      </c>
      <c r="E9" s="4" t="inlineStr"/>
      <c r="F9" s="3" t="inlineStr">
        <is>
          <t>—</t>
        </is>
      </c>
      <c r="G9" s="4" t="inlineStr"/>
    </row>
    <row r="12">
      <c r="B12" s="7" t="inlineStr">
        <is>
          <t>Risk Distribution</t>
        </is>
      </c>
    </row>
    <row r="13" ht="26" customHeight="1">
      <c r="B13" s="2" t="inlineStr">
        <is>
          <t>Risk Level</t>
        </is>
      </c>
      <c r="C13" s="2" t="inlineStr">
        <is>
          <t>Count</t>
        </is>
      </c>
      <c r="D13" s="2" t="inlineStr">
        <is>
          <t>Percent</t>
        </is>
      </c>
    </row>
    <row r="14" ht="22" customHeight="1">
      <c r="B14" s="8" t="inlineStr">
        <is>
          <t>critical</t>
        </is>
      </c>
      <c r="C14" s="9" t="n">
        <v>5</v>
      </c>
      <c r="D14" s="10" t="n">
        <v>0.1</v>
      </c>
    </row>
    <row r="15" ht="22" customHeight="1">
      <c r="B15" s="11" t="inlineStr">
        <is>
          <t>high</t>
        </is>
      </c>
      <c r="C15" s="12" t="n">
        <v>12</v>
      </c>
      <c r="D15" s="13" t="n">
        <v>0.24</v>
      </c>
    </row>
    <row r="16" ht="22" customHeight="1">
      <c r="B16" s="14" t="inlineStr">
        <is>
          <t>moderate</t>
        </is>
      </c>
      <c r="C16" s="9" t="n">
        <v>18</v>
      </c>
      <c r="D16" s="10" t="n">
        <v>0.36</v>
      </c>
    </row>
    <row r="17" ht="22" customHeight="1">
      <c r="B17" s="15" t="inlineStr">
        <is>
          <t>low</t>
        </is>
      </c>
      <c r="C17" s="12" t="n">
        <v>15</v>
      </c>
      <c r="D17" s="13" t="n">
        <v>0.3</v>
      </c>
    </row>
  </sheetData>
  <mergeCells count="1">
    <mergeCell ref="B2:G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S5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14" customWidth="1" min="2" max="2"/>
    <col width="10" customWidth="1" min="3" max="3"/>
    <col width="18" customWidth="1" min="4" max="4"/>
    <col width="28" customWidth="1" min="5" max="5"/>
    <col width="22" customWidth="1" min="6" max="6"/>
    <col width="10" customWidth="1" min="7" max="7"/>
    <col width="11" customWidth="1" min="8" max="8"/>
    <col width="50" customWidth="1" min="9" max="9"/>
    <col width="50" customWidth="1" min="10" max="10"/>
    <col width="12" customWidth="1" min="11" max="11"/>
    <col width="16" customWidth="1" min="12" max="12"/>
    <col width="36" customWidth="1" min="13" max="13"/>
    <col width="22" customWidth="1" min="14" max="14"/>
    <col width="9" customWidth="1" min="15" max="15"/>
    <col width="9" customWidth="1" min="16" max="16"/>
    <col width="11" customWidth="1" min="17" max="17"/>
    <col width="22" customWidth="1" min="18" max="18"/>
    <col width="22" customWidth="1" min="19" max="19"/>
  </cols>
  <sheetData>
    <row r="1" ht="15" customHeight="1"/>
    <row r="2" ht="32" customHeight="1">
      <c r="B2" s="1" t="inlineStr">
        <is>
          <t>SKY Incidents — 50 Records (Realistic Risk Mix)</t>
        </is>
      </c>
    </row>
    <row r="3" ht="8" customHeight="1"/>
    <row r="4" ht="28" customHeight="1">
      <c r="B4" s="16" t="inlineStr">
        <is>
          <t>Case ID</t>
        </is>
      </c>
      <c r="C4" s="16" t="inlineStr">
        <is>
          <t>Modality</t>
        </is>
      </c>
      <c r="D4" s="16" t="inlineStr">
        <is>
          <t>Source</t>
        </is>
      </c>
      <c r="E4" s="16" t="inlineStr">
        <is>
          <t>Location</t>
        </is>
      </c>
      <c r="F4" s="16" t="inlineStr">
        <is>
          <t>Detected Categories</t>
        </is>
      </c>
      <c r="G4" s="16" t="inlineStr">
        <is>
          <t>Risk Level</t>
        </is>
      </c>
      <c r="H4" s="16" t="inlineStr">
        <is>
          <t>Confidence</t>
        </is>
      </c>
      <c r="I4" s="16" t="inlineStr">
        <is>
          <t>AI Explanation</t>
        </is>
      </c>
      <c r="J4" s="16" t="inlineStr">
        <is>
          <t>Transcript</t>
        </is>
      </c>
      <c r="K4" s="16" t="inlineStr">
        <is>
          <t>Review Status</t>
        </is>
      </c>
      <c r="L4" s="16" t="inlineStr">
        <is>
          <t>Reviewer</t>
        </is>
      </c>
      <c r="M4" s="16" t="inlineStr">
        <is>
          <t>Reviewer Note</t>
        </is>
      </c>
      <c r="N4" s="16" t="inlineStr">
        <is>
          <t>Reviewed At</t>
        </is>
      </c>
      <c r="O4" s="16" t="inlineStr">
        <is>
          <t>Email Alert</t>
        </is>
      </c>
      <c r="P4" s="16" t="inlineStr">
        <is>
          <t>SMS Alert</t>
        </is>
      </c>
      <c r="Q4" s="16" t="inlineStr">
        <is>
          <t>Webhook Alert</t>
        </is>
      </c>
      <c r="R4" s="16" t="inlineStr">
        <is>
          <t>Tags</t>
        </is>
      </c>
      <c r="S4" s="16" t="inlineStr">
        <is>
          <t>Created At</t>
        </is>
      </c>
    </row>
    <row r="5" ht="38" customHeight="1">
      <c r="B5" s="17" t="inlineStr">
        <is>
          <t>SKY-VID-0001</t>
        </is>
      </c>
      <c r="C5" s="18" t="inlineStr">
        <is>
          <t>video</t>
        </is>
      </c>
      <c r="D5" s="17" t="inlineStr">
        <is>
          <t>dash-cam</t>
        </is>
      </c>
      <c r="E5" s="17" t="inlineStr">
        <is>
          <t>Restaurant — Dining Hall</t>
        </is>
      </c>
      <c r="F5" s="19" t="inlineStr">
        <is>
          <t>accident</t>
        </is>
      </c>
      <c r="G5" s="18" t="inlineStr">
        <is>
          <t>moderate</t>
        </is>
      </c>
      <c r="H5" s="20" t="n">
        <v>0.7</v>
      </c>
      <c r="I5" s="21" t="inlineStr">
        <is>
          <t>Single-vehicle accident: car mounted curb at restaurant parking. Driver exits, appears unharmed. Possible medical event or intoxication. No other vehicles involved. Recommend medical check.</t>
        </is>
      </c>
      <c r="J5" s="21" t="inlineStr"/>
      <c r="K5" s="17" t="inlineStr">
        <is>
          <t>rejected</t>
        </is>
      </c>
      <c r="L5" s="17" t="inlineStr">
        <is>
          <t>analyst-patel</t>
        </is>
      </c>
      <c r="M5" s="17" t="inlineStr">
        <is>
          <t>Approved for logging. No immediate action.</t>
        </is>
      </c>
      <c r="N5" s="17" t="inlineStr">
        <is>
          <t>2026-09-13 04:55</t>
        </is>
      </c>
      <c r="O5" s="17" t="inlineStr">
        <is>
          <t>No</t>
        </is>
      </c>
      <c r="P5" s="17" t="inlineStr">
        <is>
          <t>No</t>
        </is>
      </c>
      <c r="Q5" s="17" t="inlineStr">
        <is>
          <t>No</t>
        </is>
      </c>
      <c r="R5" s="19" t="inlineStr">
        <is>
          <t>accident</t>
        </is>
      </c>
      <c r="S5" s="17" t="inlineStr">
        <is>
          <t>2026-09-11 06:55</t>
        </is>
      </c>
    </row>
    <row r="6" ht="38" customHeight="1">
      <c r="B6" s="22" t="inlineStr">
        <is>
          <t>SKY-IMG-0001</t>
        </is>
      </c>
      <c r="C6" s="23" t="inlineStr">
        <is>
          <t>image</t>
        </is>
      </c>
      <c r="D6" s="22" t="inlineStr">
        <is>
          <t>phone-upload</t>
        </is>
      </c>
      <c r="E6" s="22" t="inlineStr">
        <is>
          <t>Hospital ER — Triage Cam</t>
        </is>
      </c>
      <c r="F6" s="24" t="inlineStr">
        <is>
          <t>violence</t>
        </is>
      </c>
      <c r="G6" s="23" t="inlineStr">
        <is>
          <t>moderate</t>
        </is>
      </c>
      <c r="H6" s="25" t="n">
        <v>0.59</v>
      </c>
      <c r="I6" s="26" t="inlineStr">
        <is>
          <t>Verbal altercation between two subjects at hospital ER triage. No physical contact yet. Loud exchange, finger-pointing. Security presence recommended to prevent escalation. Triage nurse aware.</t>
        </is>
      </c>
      <c r="J6" s="26" t="inlineStr"/>
      <c r="K6" s="22" t="inlineStr">
        <is>
          <t>pending</t>
        </is>
      </c>
      <c r="L6" s="22" t="inlineStr"/>
      <c r="M6" s="22" t="inlineStr"/>
      <c r="N6" s="22" t="inlineStr"/>
      <c r="O6" s="22" t="inlineStr">
        <is>
          <t>No</t>
        </is>
      </c>
      <c r="P6" s="22" t="inlineStr">
        <is>
          <t>No</t>
        </is>
      </c>
      <c r="Q6" s="22" t="inlineStr">
        <is>
          <t>No</t>
        </is>
      </c>
      <c r="R6" s="24" t="inlineStr">
        <is>
          <t>violence</t>
        </is>
      </c>
      <c r="S6" s="22" t="inlineStr">
        <is>
          <t>2026-09-11 04:18</t>
        </is>
      </c>
    </row>
    <row r="7" ht="38" customHeight="1">
      <c r="B7" s="17" t="inlineStr">
        <is>
          <t>SKY-VID-0002</t>
        </is>
      </c>
      <c r="C7" s="18" t="inlineStr">
        <is>
          <t>video</t>
        </is>
      </c>
      <c r="D7" s="17" t="inlineStr">
        <is>
          <t>cctv-feed</t>
        </is>
      </c>
      <c r="E7" s="17" t="inlineStr">
        <is>
          <t>Office Reception — Building C</t>
        </is>
      </c>
      <c r="F7" s="19" t="inlineStr">
        <is>
          <t>unauthorized-entry</t>
        </is>
      </c>
      <c r="G7" s="18" t="inlineStr">
        <is>
          <t>moderate</t>
        </is>
      </c>
      <c r="H7" s="20" t="n">
        <v>0.6899999999999999</v>
      </c>
      <c r="I7" s="21" t="inlineStr">
        <is>
          <t>Tailgating detected at office reception: visitor badge-swipes, second person follows through door without swipe. No visible threat. Building policy violation — moderate severity per KB.</t>
        </is>
      </c>
      <c r="J7" s="21" t="inlineStr"/>
      <c r="K7" s="17" t="inlineStr">
        <is>
          <t>approved</t>
        </is>
      </c>
      <c r="L7" s="17" t="inlineStr">
        <is>
          <t>operator-3</t>
        </is>
      </c>
      <c r="M7" s="17" t="inlineStr">
        <is>
          <t>Approved for logging. No immediate action.</t>
        </is>
      </c>
      <c r="N7" s="17" t="inlineStr">
        <is>
          <t>2026-09-11 22:17</t>
        </is>
      </c>
      <c r="O7" s="17" t="inlineStr">
        <is>
          <t>No</t>
        </is>
      </c>
      <c r="P7" s="17" t="inlineStr">
        <is>
          <t>No</t>
        </is>
      </c>
      <c r="Q7" s="17" t="inlineStr">
        <is>
          <t>No</t>
        </is>
      </c>
      <c r="R7" s="19" t="inlineStr">
        <is>
          <t>unauthorized-entry</t>
        </is>
      </c>
      <c r="S7" s="17" t="inlineStr">
        <is>
          <t>2026-09-10 22:17</t>
        </is>
      </c>
    </row>
    <row r="8" ht="38" customHeight="1">
      <c r="B8" s="22" t="inlineStr">
        <is>
          <t>SKY-IMG-0002</t>
        </is>
      </c>
      <c r="C8" s="23" t="inlineStr">
        <is>
          <t>image</t>
        </is>
      </c>
      <c r="D8" s="22" t="inlineStr">
        <is>
          <t>satellite-image</t>
        </is>
      </c>
      <c r="E8" s="22" t="inlineStr">
        <is>
          <t>ATM Lobby — Sector 12</t>
        </is>
      </c>
      <c r="F8" s="24" t="inlineStr">
        <is>
          <t>fraud</t>
        </is>
      </c>
      <c r="G8" s="23" t="inlineStr">
        <is>
          <t>high</t>
        </is>
      </c>
      <c r="H8" s="25" t="n">
        <v>0.75</v>
      </c>
      <c r="I8" s="26" t="inlineStr">
        <is>
          <t>Visual inspection of the ATM card slot reveals an additional overlay device ~3mm thick. Pinhole camera suspected above keypad area. Matches KB card-skimmer indicators. Notify bank security and seize device.</t>
        </is>
      </c>
      <c r="J8" s="26" t="inlineStr"/>
      <c r="K8" s="22" t="inlineStr">
        <is>
          <t>pending</t>
        </is>
      </c>
      <c r="L8" s="22" t="inlineStr"/>
      <c r="M8" s="22" t="inlineStr"/>
      <c r="N8" s="22" t="inlineStr"/>
      <c r="O8" s="22" t="inlineStr">
        <is>
          <t>Yes</t>
        </is>
      </c>
      <c r="P8" s="22" t="inlineStr">
        <is>
          <t>No</t>
        </is>
      </c>
      <c r="Q8" s="22" t="inlineStr">
        <is>
          <t>Yes</t>
        </is>
      </c>
      <c r="R8" s="24" t="inlineStr">
        <is>
          <t>fraud</t>
        </is>
      </c>
      <c r="S8" s="22" t="inlineStr">
        <is>
          <t>2026-09-11 03:59</t>
        </is>
      </c>
    </row>
    <row r="9" ht="38" customHeight="1">
      <c r="B9" s="17" t="inlineStr">
        <is>
          <t>SKY-IMG-0003</t>
        </is>
      </c>
      <c r="C9" s="18" t="inlineStr">
        <is>
          <t>image</t>
        </is>
      </c>
      <c r="D9" s="17" t="inlineStr">
        <is>
          <t>phone-upload</t>
        </is>
      </c>
      <c r="E9" s="17" t="inlineStr">
        <is>
          <t>Retail Store — Aisle 7</t>
        </is>
      </c>
      <c r="F9" s="19" t="inlineStr">
        <is>
          <t>theft</t>
        </is>
      </c>
      <c r="G9" s="18" t="inlineStr">
        <is>
          <t>moderate</t>
        </is>
      </c>
      <c r="H9" s="20" t="n">
        <v>0.6899999999999999</v>
      </c>
      <c r="I9" s="21" t="inlineStr">
        <is>
          <t>Subject loitering near high-value electronics display for ~6 minutes (3 prior passes). Repeatedly looking toward staff station. No concealment action yet observed. Loss-prevention officer recommended.</t>
        </is>
      </c>
      <c r="J9" s="21" t="inlineStr"/>
      <c r="K9" s="17" t="inlineStr">
        <is>
          <t>approved</t>
        </is>
      </c>
      <c r="L9" s="17" t="inlineStr">
        <is>
          <t>operator-2</t>
        </is>
      </c>
      <c r="M9" s="17" t="inlineStr"/>
      <c r="N9" s="17" t="inlineStr">
        <is>
          <t>2026-09-12 01:46</t>
        </is>
      </c>
      <c r="O9" s="17" t="inlineStr">
        <is>
          <t>No</t>
        </is>
      </c>
      <c r="P9" s="17" t="inlineStr">
        <is>
          <t>No</t>
        </is>
      </c>
      <c r="Q9" s="17" t="inlineStr">
        <is>
          <t>No</t>
        </is>
      </c>
      <c r="R9" s="19" t="inlineStr">
        <is>
          <t>theft</t>
        </is>
      </c>
      <c r="S9" s="17" t="inlineStr">
        <is>
          <t>2026-09-11 00:46</t>
        </is>
      </c>
    </row>
    <row r="10" ht="38" customHeight="1">
      <c r="B10" s="22" t="inlineStr">
        <is>
          <t>SKY-VID-0003</t>
        </is>
      </c>
      <c r="C10" s="23" t="inlineStr">
        <is>
          <t>video</t>
        </is>
      </c>
      <c r="D10" s="22" t="inlineStr">
        <is>
          <t>dash-cam</t>
        </is>
      </c>
      <c r="E10" s="22" t="inlineStr">
        <is>
          <t>Retail Store — Aisle 7</t>
        </is>
      </c>
      <c r="F10" s="24" t="inlineStr">
        <is>
          <t>theft</t>
        </is>
      </c>
      <c r="G10" s="23" t="inlineStr">
        <is>
          <t>moderate</t>
        </is>
      </c>
      <c r="H10" s="25" t="n">
        <v>0.66</v>
      </c>
      <c r="I10" s="26" t="inlineStr">
        <is>
          <t>Shoplifting indicator: subject conceals small item (apparent cosmetic) in jacket, continues browsing, no payment at register observed. Loss-prevention officer notified. Receipt-check recommended at exit.</t>
        </is>
      </c>
      <c r="J10" s="26" t="inlineStr"/>
      <c r="K10" s="22" t="inlineStr">
        <is>
          <t>rejected</t>
        </is>
      </c>
      <c r="L10" s="22" t="inlineStr">
        <is>
          <t>operator-1</t>
        </is>
      </c>
      <c r="M10" s="22" t="inlineStr">
        <is>
          <t>Approved for logging. No immediate action.</t>
        </is>
      </c>
      <c r="N10" s="22" t="inlineStr">
        <is>
          <t>2026-09-10 22:43</t>
        </is>
      </c>
      <c r="O10" s="22" t="inlineStr">
        <is>
          <t>No</t>
        </is>
      </c>
      <c r="P10" s="22" t="inlineStr">
        <is>
          <t>No</t>
        </is>
      </c>
      <c r="Q10" s="22" t="inlineStr">
        <is>
          <t>No</t>
        </is>
      </c>
      <c r="R10" s="24" t="inlineStr">
        <is>
          <t>theft</t>
        </is>
      </c>
      <c r="S10" s="22" t="inlineStr">
        <is>
          <t>2026-09-10 19:43</t>
        </is>
      </c>
    </row>
    <row r="11" ht="38" customHeight="1">
      <c r="B11" s="17" t="inlineStr">
        <is>
          <t>SKY-VID-0004</t>
        </is>
      </c>
      <c r="C11" s="18" t="inlineStr">
        <is>
          <t>video</t>
        </is>
      </c>
      <c r="D11" s="17" t="inlineStr">
        <is>
          <t>drone-capture</t>
        </is>
      </c>
      <c r="E11" s="17" t="inlineStr">
        <is>
          <t>Office Reception — Building C</t>
        </is>
      </c>
      <c r="F11" s="19" t="inlineStr">
        <is>
          <t>unauthorized-entry</t>
        </is>
      </c>
      <c r="G11" s="18" t="inlineStr">
        <is>
          <t>moderate</t>
        </is>
      </c>
      <c r="H11" s="20" t="n">
        <v>0.68</v>
      </c>
      <c r="I11" s="21" t="inlineStr">
        <is>
          <t>Tailgating detected at office reception: visitor badge-swipes, second person follows through door without swipe. No visible threat. Building policy violation — moderate severity per KB.</t>
        </is>
      </c>
      <c r="J11" s="21" t="inlineStr"/>
      <c r="K11" s="17" t="inlineStr">
        <is>
          <t>approved</t>
        </is>
      </c>
      <c r="L11" s="17" t="inlineStr">
        <is>
          <t>analyst-patel</t>
        </is>
      </c>
      <c r="M11" s="17" t="inlineStr">
        <is>
          <t>Confirmed moderate. Routine dispatch.</t>
        </is>
      </c>
      <c r="N11" s="17" t="inlineStr">
        <is>
          <t>2026-09-11 10:04</t>
        </is>
      </c>
      <c r="O11" s="17" t="inlineStr">
        <is>
          <t>No</t>
        </is>
      </c>
      <c r="P11" s="17" t="inlineStr">
        <is>
          <t>No</t>
        </is>
      </c>
      <c r="Q11" s="17" t="inlineStr">
        <is>
          <t>No</t>
        </is>
      </c>
      <c r="R11" s="19" t="inlineStr">
        <is>
          <t>unauthorized-entry</t>
        </is>
      </c>
      <c r="S11" s="17" t="inlineStr">
        <is>
          <t>2026-09-10 20:04</t>
        </is>
      </c>
    </row>
    <row r="12" ht="38" customHeight="1">
      <c r="B12" s="22" t="inlineStr">
        <is>
          <t>SKY-VID-0005</t>
        </is>
      </c>
      <c r="C12" s="23" t="inlineStr">
        <is>
          <t>video</t>
        </is>
      </c>
      <c r="D12" s="22" t="inlineStr">
        <is>
          <t>drone-capture</t>
        </is>
      </c>
      <c r="E12" s="22" t="inlineStr">
        <is>
          <t>Warehouse Perimeter — East Gate</t>
        </is>
      </c>
      <c r="F12" s="24" t="inlineStr">
        <is>
          <t>unauthorized-entry</t>
        </is>
      </c>
      <c r="G12" s="23" t="inlineStr">
        <is>
          <t>high</t>
        </is>
      </c>
      <c r="H12" s="25" t="n">
        <v>0.8100000000000001</v>
      </c>
      <c r="I12" s="26" t="inlineStr">
        <is>
          <t>Subject in dark clothing climbs perimeter fence at East Gate at 03:14 local time. No visible credentials. Heads toward warehouse loading dock. Motion-region trigger fired on restricted zone.</t>
        </is>
      </c>
      <c r="J12" s="26" t="inlineStr"/>
      <c r="K12" s="22" t="inlineStr">
        <is>
          <t>approved</t>
        </is>
      </c>
      <c r="L12" s="22" t="inlineStr">
        <is>
          <t>operator-2</t>
        </is>
      </c>
      <c r="M12" s="22" t="inlineStr">
        <is>
          <t>Multiple KB cues matched. Approved with note to monitor for repeat pattern.</t>
        </is>
      </c>
      <c r="N12" s="22" t="inlineStr">
        <is>
          <t>2026-09-12 15:58</t>
        </is>
      </c>
      <c r="O12" s="22" t="inlineStr">
        <is>
          <t>Yes</t>
        </is>
      </c>
      <c r="P12" s="22" t="inlineStr">
        <is>
          <t>No</t>
        </is>
      </c>
      <c r="Q12" s="22" t="inlineStr">
        <is>
          <t>Yes</t>
        </is>
      </c>
      <c r="R12" s="24" t="inlineStr">
        <is>
          <t>unauthorized-entry</t>
        </is>
      </c>
      <c r="S12" s="22" t="inlineStr">
        <is>
          <t>2026-09-12 06:58</t>
        </is>
      </c>
    </row>
    <row r="13" ht="60" customHeight="1">
      <c r="B13" s="17" t="inlineStr">
        <is>
          <t>SKY-AUD-0001</t>
        </is>
      </c>
      <c r="C13" s="18" t="inlineStr">
        <is>
          <t>audio</t>
        </is>
      </c>
      <c r="D13" s="17" t="inlineStr">
        <is>
          <t>intercepted-call</t>
        </is>
      </c>
      <c r="E13" s="17" t="inlineStr">
        <is>
          <t>VOIP — Helpdesk Line</t>
        </is>
      </c>
      <c r="F13" s="19" t="inlineStr">
        <is>
          <t>other</t>
        </is>
      </c>
      <c r="G13" s="18" t="inlineStr">
        <is>
          <t>low</t>
        </is>
      </c>
      <c r="H13" s="20" t="n">
        <v>0.16</v>
      </c>
      <c r="I13" s="21" t="inlineStr">
        <is>
          <t>Transcript shows standard restaurant reservation call. Caller provides name, party size, time. No request for sensitive information, no urgency cues, no scam pattern. Benign.</t>
        </is>
      </c>
      <c r="J13" s="21" t="inlineStr">
        <is>
          <t>Hello, I would like to book a table for 4 people at 7:30 PM tomorrow evening. The name is Sharma. Thank you.</t>
        </is>
      </c>
      <c r="K13" s="17" t="inlineStr">
        <is>
          <t>approved</t>
        </is>
      </c>
      <c r="L13" s="17" t="inlineStr">
        <is>
          <t>analyst-patel</t>
        </is>
      </c>
      <c r="M13" s="17" t="inlineStr"/>
      <c r="N13" s="17" t="inlineStr">
        <is>
          <t>2026-09-13 00:16</t>
        </is>
      </c>
      <c r="O13" s="17" t="inlineStr">
        <is>
          <t>No</t>
        </is>
      </c>
      <c r="P13" s="17" t="inlineStr">
        <is>
          <t>No</t>
        </is>
      </c>
      <c r="Q13" s="17" t="inlineStr">
        <is>
          <t>No</t>
        </is>
      </c>
      <c r="R13" s="19" t="inlineStr">
        <is>
          <t>other</t>
        </is>
      </c>
      <c r="S13" s="17" t="inlineStr">
        <is>
          <t>2026-09-12 00:16</t>
        </is>
      </c>
    </row>
    <row r="14" ht="60" customHeight="1">
      <c r="B14" s="22" t="inlineStr">
        <is>
          <t>SKY-AUD-0002</t>
        </is>
      </c>
      <c r="C14" s="23" t="inlineStr">
        <is>
          <t>audio</t>
        </is>
      </c>
      <c r="D14" s="22" t="inlineStr">
        <is>
          <t>phone-call</t>
        </is>
      </c>
      <c r="E14" s="22" t="inlineStr">
        <is>
          <t>VOIP — Helpdesk Line</t>
        </is>
      </c>
      <c r="F14" s="24" t="inlineStr">
        <is>
          <t>fraud</t>
        </is>
      </c>
      <c r="G14" s="23" t="inlineStr">
        <is>
          <t>moderate</t>
        </is>
      </c>
      <c r="H14" s="25" t="n">
        <v>0.62</v>
      </c>
      <c r="I14" s="26" t="inlineStr">
        <is>
          <t>Caller mentions 'special investment opportunity' with guaranteed returns, asks for bank details for 'account setup'. Pattern partially matches KB investment-fraud indicators. Lower urgency — no immediate OTP request.</t>
        </is>
      </c>
      <c r="J14" s="26" t="inlineStr">
        <is>
          <t>Sir, I am calling from a registered investment firm. We have a special opportunity with guaranteed 25 percent returns in just 3 months. I just need your bank account number to set up the investment.</t>
        </is>
      </c>
      <c r="K14" s="22" t="inlineStr">
        <is>
          <t>pending</t>
        </is>
      </c>
      <c r="L14" s="22" t="inlineStr"/>
      <c r="M14" s="22" t="inlineStr"/>
      <c r="N14" s="22" t="inlineStr"/>
      <c r="O14" s="22" t="inlineStr">
        <is>
          <t>No</t>
        </is>
      </c>
      <c r="P14" s="22" t="inlineStr">
        <is>
          <t>No</t>
        </is>
      </c>
      <c r="Q14" s="22" t="inlineStr">
        <is>
          <t>No</t>
        </is>
      </c>
      <c r="R14" s="24" t="inlineStr">
        <is>
          <t>fraud</t>
        </is>
      </c>
      <c r="S14" s="22" t="inlineStr">
        <is>
          <t>2026-09-12 00:31</t>
        </is>
      </c>
    </row>
    <row r="15" ht="60" customHeight="1">
      <c r="B15" s="17" t="inlineStr">
        <is>
          <t>SKY-AUD-0003</t>
        </is>
      </c>
      <c r="C15" s="18" t="inlineStr">
        <is>
          <t>audio</t>
        </is>
      </c>
      <c r="D15" s="17" t="inlineStr">
        <is>
          <t>voip-call</t>
        </is>
      </c>
      <c r="E15" s="17" t="inlineStr">
        <is>
          <t>VOIP — Helpdesk Line</t>
        </is>
      </c>
      <c r="F15" s="19" t="inlineStr">
        <is>
          <t>scam, fraud</t>
        </is>
      </c>
      <c r="G15" s="18" t="inlineStr">
        <is>
          <t>high</t>
        </is>
      </c>
      <c r="H15" s="20" t="n">
        <v>0.91</v>
      </c>
      <c r="I15" s="21" t="inlineStr">
        <is>
          <t>Caller impersonates Amazon support, claims refund of 5,000 rupees is due, requests AnyDesk installation and OTP. Pattern matches KB refund-scam playbook. Multiple KB cues matched: 'refund', 'AnyDesk', 'OTP'.</t>
        </is>
      </c>
      <c r="J15" s="21" t="inlineStr">
        <is>
          <t>Hello, this is Amazon customer service. We are processing a refund of 5000 rupees for your recent order that was cancelled. To verify your account, please install the AnyDesk app and tell me the 9-digit code on your screen.</t>
        </is>
      </c>
      <c r="K15" s="17" t="inlineStr">
        <is>
          <t>approved</t>
        </is>
      </c>
      <c r="L15" s="17" t="inlineStr">
        <is>
          <t>analyst-sharma</t>
        </is>
      </c>
      <c r="M15" s="17" t="inlineStr">
        <is>
          <t>Confirmed. Dispatched patrol. Pending further review of full video.</t>
        </is>
      </c>
      <c r="N15" s="17" t="inlineStr">
        <is>
          <t>2026-09-12 19:40</t>
        </is>
      </c>
      <c r="O15" s="17" t="inlineStr">
        <is>
          <t>Yes</t>
        </is>
      </c>
      <c r="P15" s="17" t="inlineStr">
        <is>
          <t>No</t>
        </is>
      </c>
      <c r="Q15" s="17" t="inlineStr">
        <is>
          <t>Yes</t>
        </is>
      </c>
      <c r="R15" s="19" t="inlineStr">
        <is>
          <t>scam, fraud</t>
        </is>
      </c>
      <c r="S15" s="17" t="inlineStr">
        <is>
          <t>2026-09-11 18:40</t>
        </is>
      </c>
    </row>
    <row r="16" ht="38" customHeight="1">
      <c r="B16" s="22" t="inlineStr">
        <is>
          <t>SKY-IMG-0004</t>
        </is>
      </c>
      <c r="C16" s="23" t="inlineStr">
        <is>
          <t>image</t>
        </is>
      </c>
      <c r="D16" s="22" t="inlineStr">
        <is>
          <t>drone-capture</t>
        </is>
      </c>
      <c r="E16" s="22" t="inlineStr">
        <is>
          <t>Warehouse Perimeter — East Gate</t>
        </is>
      </c>
      <c r="F16" s="24" t="inlineStr">
        <is>
          <t>other</t>
        </is>
      </c>
      <c r="G16" s="23" t="inlineStr">
        <is>
          <t>low</t>
        </is>
      </c>
      <c r="H16" s="25" t="n">
        <v>0.12</v>
      </c>
      <c r="I16" s="26" t="inlineStr">
        <is>
          <t>Image shows empty warehouse corridor during operating hours. No motion, no personnel, no anomalies. Likely routine snapshot from scheduled CCTV capture.</t>
        </is>
      </c>
      <c r="J16" s="26" t="inlineStr"/>
      <c r="K16" s="22" t="inlineStr">
        <is>
          <t>approved</t>
        </is>
      </c>
      <c r="L16" s="22" t="inlineStr">
        <is>
          <t>operator-1</t>
        </is>
      </c>
      <c r="M16" s="22" t="inlineStr">
        <is>
          <t>Routine snapshot, no action required.</t>
        </is>
      </c>
      <c r="N16" s="22" t="inlineStr">
        <is>
          <t>2026-09-13 18:16</t>
        </is>
      </c>
      <c r="O16" s="22" t="inlineStr">
        <is>
          <t>No</t>
        </is>
      </c>
      <c r="P16" s="22" t="inlineStr">
        <is>
          <t>No</t>
        </is>
      </c>
      <c r="Q16" s="22" t="inlineStr">
        <is>
          <t>No</t>
        </is>
      </c>
      <c r="R16" s="24" t="inlineStr">
        <is>
          <t>other</t>
        </is>
      </c>
      <c r="S16" s="22" t="inlineStr">
        <is>
          <t>2026-09-12 00:16</t>
        </is>
      </c>
    </row>
    <row r="17" ht="60" customHeight="1">
      <c r="B17" s="17" t="inlineStr">
        <is>
          <t>SKY-AUD-0004</t>
        </is>
      </c>
      <c r="C17" s="18" t="inlineStr">
        <is>
          <t>audio</t>
        </is>
      </c>
      <c r="D17" s="17" t="inlineStr">
        <is>
          <t>voice-note</t>
        </is>
      </c>
      <c r="E17" s="17" t="inlineStr">
        <is>
          <t>Phone Call — Inbound 080-XXXX-1234</t>
        </is>
      </c>
      <c r="F17" s="19" t="inlineStr">
        <is>
          <t>other</t>
        </is>
      </c>
      <c r="G17" s="18" t="inlineStr">
        <is>
          <t>low</t>
        </is>
      </c>
      <c r="H17" s="20" t="n">
        <v>0.19</v>
      </c>
      <c r="I17" s="21" t="inlineStr">
        <is>
          <t>Caller is a delivery person confirming address for package drop-off. Provides tracking number, no sensitive personal information requested. Standard logistics call. Benign.</t>
        </is>
      </c>
      <c r="J17" s="21" t="inlineStr">
        <is>
          <t>Hello, this is the delivery person from BlueDart. I have a package for delivery at your address. Are you home between 2 and 4 PM today? Tracking number is BD123456.</t>
        </is>
      </c>
      <c r="K17" s="17" t="inlineStr">
        <is>
          <t>approved</t>
        </is>
      </c>
      <c r="L17" s="17" t="inlineStr">
        <is>
          <t>operator-1</t>
        </is>
      </c>
      <c r="M17" s="17" t="inlineStr">
        <is>
          <t>Routine snapshot, no action required.</t>
        </is>
      </c>
      <c r="N17" s="17" t="inlineStr">
        <is>
          <t>2026-09-13 07:10</t>
        </is>
      </c>
      <c r="O17" s="17" t="inlineStr">
        <is>
          <t>No</t>
        </is>
      </c>
      <c r="P17" s="17" t="inlineStr">
        <is>
          <t>No</t>
        </is>
      </c>
      <c r="Q17" s="17" t="inlineStr">
        <is>
          <t>No</t>
        </is>
      </c>
      <c r="R17" s="19" t="inlineStr">
        <is>
          <t>other</t>
        </is>
      </c>
      <c r="S17" s="17" t="inlineStr">
        <is>
          <t>2026-09-11 22:10</t>
        </is>
      </c>
    </row>
    <row r="18" ht="38" customHeight="1">
      <c r="B18" s="22" t="inlineStr">
        <is>
          <t>SKY-IMG-0005</t>
        </is>
      </c>
      <c r="C18" s="23" t="inlineStr">
        <is>
          <t>image</t>
        </is>
      </c>
      <c r="D18" s="22" t="inlineStr">
        <is>
          <t>manual-upload</t>
        </is>
      </c>
      <c r="E18" s="22" t="inlineStr">
        <is>
          <t>Office Reception — Building C</t>
        </is>
      </c>
      <c r="F18" s="24" t="inlineStr">
        <is>
          <t>other</t>
        </is>
      </c>
      <c r="G18" s="23" t="inlineStr">
        <is>
          <t>low</t>
        </is>
      </c>
      <c r="H18" s="25" t="n">
        <v>0.25</v>
      </c>
      <c r="I18" s="26" t="inlineStr">
        <is>
          <t>Image shows office reception during business hours. Two visitors seated, receptionist at desk, no altercation. Routine reception activity.</t>
        </is>
      </c>
      <c r="J18" s="26" t="inlineStr"/>
      <c r="K18" s="22" t="inlineStr">
        <is>
          <t>rejected</t>
        </is>
      </c>
      <c r="L18" s="22" t="inlineStr">
        <is>
          <t>analyst-patel</t>
        </is>
      </c>
      <c r="M18" s="22" t="inlineStr">
        <is>
          <t>False positive confirmed. Approved.</t>
        </is>
      </c>
      <c r="N18" s="22" t="inlineStr">
        <is>
          <t>2026-09-12 16:06</t>
        </is>
      </c>
      <c r="O18" s="22" t="inlineStr">
        <is>
          <t>No</t>
        </is>
      </c>
      <c r="P18" s="22" t="inlineStr">
        <is>
          <t>No</t>
        </is>
      </c>
      <c r="Q18" s="22" t="inlineStr">
        <is>
          <t>No</t>
        </is>
      </c>
      <c r="R18" s="24" t="inlineStr">
        <is>
          <t>other</t>
        </is>
      </c>
      <c r="S18" s="22" t="inlineStr">
        <is>
          <t>2026-09-12 06:06</t>
        </is>
      </c>
    </row>
    <row r="19" ht="60" customHeight="1">
      <c r="B19" s="17" t="inlineStr">
        <is>
          <t>SKY-AUD-0005</t>
        </is>
      </c>
      <c r="C19" s="18" t="inlineStr">
        <is>
          <t>audio</t>
        </is>
      </c>
      <c r="D19" s="17" t="inlineStr">
        <is>
          <t>phone-call</t>
        </is>
      </c>
      <c r="E19" s="17" t="inlineStr">
        <is>
          <t>Phone Call — Inbound 080-XXXX-5678</t>
        </is>
      </c>
      <c r="F19" s="19" t="inlineStr">
        <is>
          <t>scam</t>
        </is>
      </c>
      <c r="G19" s="18" t="inlineStr">
        <is>
          <t>moderate</t>
        </is>
      </c>
      <c r="H19" s="20" t="n">
        <v>0.61</v>
      </c>
      <c r="I19" s="21" t="inlineStr">
        <is>
          <t>Caller claims victim's electricity will be disconnected in 30 minutes for 'bill non-payment'. Demands 4,000 rupees via UPI 'to stop disconnection'. Pattern matches KB utility-disconnection scam.</t>
        </is>
      </c>
      <c r="J19" s="21" t="inlineStr">
        <is>
          <t>This is the Electricity Board. Your power will be disconnected in 30 minutes due to unpaid bill of 4000 rupees. Pay immediately via UPI to this number to stop disconnection.</t>
        </is>
      </c>
      <c r="K19" s="17" t="inlineStr">
        <is>
          <t>pending</t>
        </is>
      </c>
      <c r="L19" s="17" t="inlineStr"/>
      <c r="M19" s="17" t="inlineStr"/>
      <c r="N19" s="17" t="inlineStr"/>
      <c r="O19" s="17" t="inlineStr">
        <is>
          <t>No</t>
        </is>
      </c>
      <c r="P19" s="17" t="inlineStr">
        <is>
          <t>No</t>
        </is>
      </c>
      <c r="Q19" s="17" t="inlineStr">
        <is>
          <t>No</t>
        </is>
      </c>
      <c r="R19" s="19" t="inlineStr">
        <is>
          <t>scam</t>
        </is>
      </c>
      <c r="S19" s="17" t="inlineStr">
        <is>
          <t>2026-09-13 00:49</t>
        </is>
      </c>
    </row>
    <row r="20" ht="38" customHeight="1">
      <c r="B20" s="22" t="inlineStr">
        <is>
          <t>SKY-VID-0006</t>
        </is>
      </c>
      <c r="C20" s="23" t="inlineStr">
        <is>
          <t>video</t>
        </is>
      </c>
      <c r="D20" s="22" t="inlineStr">
        <is>
          <t>drone-capture</t>
        </is>
      </c>
      <c r="E20" s="22" t="inlineStr">
        <is>
          <t>Gas Station — Pump 3</t>
        </is>
      </c>
      <c r="F20" s="24" t="inlineStr">
        <is>
          <t>other</t>
        </is>
      </c>
      <c r="G20" s="23" t="inlineStr">
        <is>
          <t>low</t>
        </is>
      </c>
      <c r="H20" s="25" t="n">
        <v>0.19</v>
      </c>
      <c r="I20" s="26" t="inlineStr">
        <is>
          <t>Video shows gas station pump 3 during routine fueling. One customer fueling vehicle, no second person, no altercation, no theft. Normal commercial activity.</t>
        </is>
      </c>
      <c r="J20" s="26" t="inlineStr"/>
      <c r="K20" s="22" t="inlineStr">
        <is>
          <t>rejected</t>
        </is>
      </c>
      <c r="L20" s="22" t="inlineStr">
        <is>
          <t>operator-3</t>
        </is>
      </c>
      <c r="M20" s="22" t="inlineStr">
        <is>
          <t>False positive confirmed. Approved.</t>
        </is>
      </c>
      <c r="N20" s="22" t="inlineStr">
        <is>
          <t>2026-09-12 20:07</t>
        </is>
      </c>
      <c r="O20" s="22" t="inlineStr">
        <is>
          <t>No</t>
        </is>
      </c>
      <c r="P20" s="22" t="inlineStr">
        <is>
          <t>No</t>
        </is>
      </c>
      <c r="Q20" s="22" t="inlineStr">
        <is>
          <t>No</t>
        </is>
      </c>
      <c r="R20" s="24" t="inlineStr">
        <is>
          <t>other</t>
        </is>
      </c>
      <c r="S20" s="22" t="inlineStr">
        <is>
          <t>2026-09-12 16:07</t>
        </is>
      </c>
    </row>
    <row r="21" ht="60" customHeight="1">
      <c r="B21" s="17" t="inlineStr">
        <is>
          <t>SKY-AUD-0006</t>
        </is>
      </c>
      <c r="C21" s="18" t="inlineStr">
        <is>
          <t>audio</t>
        </is>
      </c>
      <c r="D21" s="17" t="inlineStr">
        <is>
          <t>intercepted-call</t>
        </is>
      </c>
      <c r="E21" s="17" t="inlineStr">
        <is>
          <t>Phone Call — Inbound 080-XXXX-1234</t>
        </is>
      </c>
      <c r="F21" s="19" t="inlineStr">
        <is>
          <t>fraud, impersonation</t>
        </is>
      </c>
      <c r="G21" s="18" t="inlineStr">
        <is>
          <t>critical</t>
        </is>
      </c>
      <c r="H21" s="20" t="n">
        <v>0.93</v>
      </c>
      <c r="I21" s="21" t="inlineStr">
        <is>
          <t>Caller impersonates CBI Officer Sharma, claims victim's Aadhaar linked to illegal accounts, demands OTP 'to prevent account freeze', and instructs victim not to disconnect. Classic authority-impersonation payment-fraud. Multiple KB cues matched.</t>
        </is>
      </c>
      <c r="J21" s="21" t="inlineStr">
        <is>
          <t>Hello, this is Officer Sharma from the Cyber Crime Branch. We have detected that your Aadhaar has been linked to two illegal bank accounts. To prevent your account from being frozen, please share the OTP you just received on your phone right now. Do not disconnect this call. This is urgent.</t>
        </is>
      </c>
      <c r="K21" s="17" t="inlineStr">
        <is>
          <t>approved</t>
        </is>
      </c>
      <c r="L21" s="17" t="inlineStr">
        <is>
          <t>operator-1</t>
        </is>
      </c>
      <c r="M21" s="17" t="inlineStr">
        <is>
          <t>Multiple KB cues matched. Cross-checked with prior incidents. Approved for action.</t>
        </is>
      </c>
      <c r="N21" s="17" t="inlineStr">
        <is>
          <t>2026-09-13 02:05</t>
        </is>
      </c>
      <c r="O21" s="17" t="inlineStr">
        <is>
          <t>Yes</t>
        </is>
      </c>
      <c r="P21" s="17" t="inlineStr">
        <is>
          <t>Yes</t>
        </is>
      </c>
      <c r="Q21" s="17" t="inlineStr">
        <is>
          <t>Yes</t>
        </is>
      </c>
      <c r="R21" s="19" t="inlineStr">
        <is>
          <t>fraud, impersonation</t>
        </is>
      </c>
      <c r="S21" s="17" t="inlineStr">
        <is>
          <t>2026-09-12 17:05</t>
        </is>
      </c>
    </row>
    <row r="22" ht="38" customHeight="1">
      <c r="B22" s="22" t="inlineStr">
        <is>
          <t>SKY-IMG-0006</t>
        </is>
      </c>
      <c r="C22" s="23" t="inlineStr">
        <is>
          <t>image</t>
        </is>
      </c>
      <c r="D22" s="22" t="inlineStr">
        <is>
          <t>drone-capture</t>
        </is>
      </c>
      <c r="E22" s="22" t="inlineStr">
        <is>
          <t>Parking Lot — Level B2</t>
        </is>
      </c>
      <c r="F22" s="24" t="inlineStr">
        <is>
          <t>unauthorized-entry</t>
        </is>
      </c>
      <c r="G22" s="23" t="inlineStr">
        <is>
          <t>moderate</t>
        </is>
      </c>
      <c r="H22" s="25" t="n">
        <v>0.58</v>
      </c>
      <c r="I22" s="26" t="inlineStr">
        <is>
          <t>Subject in parking garage level B2 near reserved spots. Loitering ~3 minutes, peering into vehicle windows. No break-in attempt yet. Security patrol recommended to deter escalation.</t>
        </is>
      </c>
      <c r="J22" s="26" t="inlineStr"/>
      <c r="K22" s="22" t="inlineStr">
        <is>
          <t>rejected</t>
        </is>
      </c>
      <c r="L22" s="22" t="inlineStr">
        <is>
          <t>analyst-patel</t>
        </is>
      </c>
      <c r="M22" s="22" t="inlineStr"/>
      <c r="N22" s="22" t="inlineStr">
        <is>
          <t>2026-09-13 14:10</t>
        </is>
      </c>
      <c r="O22" s="22" t="inlineStr">
        <is>
          <t>No</t>
        </is>
      </c>
      <c r="P22" s="22" t="inlineStr">
        <is>
          <t>No</t>
        </is>
      </c>
      <c r="Q22" s="22" t="inlineStr">
        <is>
          <t>No</t>
        </is>
      </c>
      <c r="R22" s="24" t="inlineStr">
        <is>
          <t>unauthorized-entry</t>
        </is>
      </c>
      <c r="S22" s="22" t="inlineStr">
        <is>
          <t>2026-09-13 00:10</t>
        </is>
      </c>
    </row>
    <row r="23" ht="38" customHeight="1">
      <c r="B23" s="17" t="inlineStr">
        <is>
          <t>SKY-VID-0007</t>
        </is>
      </c>
      <c r="C23" s="18" t="inlineStr">
        <is>
          <t>video</t>
        </is>
      </c>
      <c r="D23" s="17" t="inlineStr">
        <is>
          <t>body-cam</t>
        </is>
      </c>
      <c r="E23" s="17" t="inlineStr">
        <is>
          <t>Gas Station — Pump 3</t>
        </is>
      </c>
      <c r="F23" s="19" t="inlineStr">
        <is>
          <t>other</t>
        </is>
      </c>
      <c r="G23" s="18" t="inlineStr">
        <is>
          <t>low</t>
        </is>
      </c>
      <c r="H23" s="20" t="n">
        <v>0.23</v>
      </c>
      <c r="I23" s="21" t="inlineStr">
        <is>
          <t>Video shows gas station pump 3 during routine fueling. One customer fueling vehicle, no second person, no altercation, no theft. Normal commercial activity.</t>
        </is>
      </c>
      <c r="J23" s="21" t="inlineStr"/>
      <c r="K23" s="17" t="inlineStr">
        <is>
          <t>approved</t>
        </is>
      </c>
      <c r="L23" s="17" t="inlineStr">
        <is>
          <t>operator-3</t>
        </is>
      </c>
      <c r="M23" s="17" t="inlineStr"/>
      <c r="N23" s="17" t="inlineStr">
        <is>
          <t>2026-09-14 13:19</t>
        </is>
      </c>
      <c r="O23" s="17" t="inlineStr">
        <is>
          <t>No</t>
        </is>
      </c>
      <c r="P23" s="17" t="inlineStr">
        <is>
          <t>No</t>
        </is>
      </c>
      <c r="Q23" s="17" t="inlineStr">
        <is>
          <t>No</t>
        </is>
      </c>
      <c r="R23" s="19" t="inlineStr">
        <is>
          <t>other</t>
        </is>
      </c>
      <c r="S23" s="17" t="inlineStr">
        <is>
          <t>2026-09-13 03:19</t>
        </is>
      </c>
    </row>
    <row r="24" ht="60" customHeight="1">
      <c r="B24" s="22" t="inlineStr">
        <is>
          <t>SKY-AUD-0007</t>
        </is>
      </c>
      <c r="C24" s="23" t="inlineStr">
        <is>
          <t>audio</t>
        </is>
      </c>
      <c r="D24" s="22" t="inlineStr">
        <is>
          <t>phone-call</t>
        </is>
      </c>
      <c r="E24" s="22" t="inlineStr">
        <is>
          <t>Phone Call — Inbound 080-XXXX-5678</t>
        </is>
      </c>
      <c r="F24" s="24" t="inlineStr">
        <is>
          <t>manipulated-media, impersonation</t>
        </is>
      </c>
      <c r="G24" s="23" t="inlineStr">
        <is>
          <t>critical</t>
        </is>
      </c>
      <c r="H24" s="25" t="n">
        <v>0.9</v>
      </c>
      <c r="I24" s="26" t="inlineStr">
        <is>
          <t>Audio analysis detected synthetic-voice cues: absence of breath sounds, unnaturally consistent room tone, and rehearsed official jargon. Caller claims to be the victim's son in apparent distress demanding immediate ransom. Probable voice-clone deepfake targeting family.</t>
        </is>
      </c>
      <c r="J24" s="26" t="inlineStr">
        <is>
          <t>Papa, it's me. I am in big trouble. I had an accident and the police need 50,000 rupees right now or they will arrest me. Please send the money immediately. Don't call my regular number.</t>
        </is>
      </c>
      <c r="K24" s="22" t="inlineStr">
        <is>
          <t>escalated</t>
        </is>
      </c>
      <c r="L24" s="22" t="inlineStr">
        <is>
          <t>operator-1</t>
        </is>
      </c>
      <c r="M24" s="22" t="inlineStr">
        <is>
          <t>Multiple KB cues matched. Cross-checked with prior incidents. Approved for action.</t>
        </is>
      </c>
      <c r="N24" s="22" t="inlineStr">
        <is>
          <t>2026-09-14 07:04</t>
        </is>
      </c>
      <c r="O24" s="22" t="inlineStr">
        <is>
          <t>Yes</t>
        </is>
      </c>
      <c r="P24" s="22" t="inlineStr">
        <is>
          <t>Yes</t>
        </is>
      </c>
      <c r="Q24" s="22" t="inlineStr">
        <is>
          <t>Yes</t>
        </is>
      </c>
      <c r="R24" s="24" t="inlineStr">
        <is>
          <t>manipulated-media, impersonation</t>
        </is>
      </c>
      <c r="S24" s="22" t="inlineStr">
        <is>
          <t>2026-09-12 19:04</t>
        </is>
      </c>
    </row>
    <row r="25" ht="38" customHeight="1">
      <c r="B25" s="17" t="inlineStr">
        <is>
          <t>SKY-IMG-0007</t>
        </is>
      </c>
      <c r="C25" s="18" t="inlineStr">
        <is>
          <t>image</t>
        </is>
      </c>
      <c r="D25" s="17" t="inlineStr">
        <is>
          <t>phone-upload</t>
        </is>
      </c>
      <c r="E25" s="17" t="inlineStr">
        <is>
          <t>Public Park — Cam 11</t>
        </is>
      </c>
      <c r="F25" s="19" t="inlineStr">
        <is>
          <t>theft</t>
        </is>
      </c>
      <c r="G25" s="18" t="inlineStr">
        <is>
          <t>moderate</t>
        </is>
      </c>
      <c r="H25" s="20" t="n">
        <v>0.57</v>
      </c>
      <c r="I25" s="21" t="inlineStr">
        <is>
          <t>Subject picks up unattended backpack from park bench, walks away. Owner returns ~90 seconds later, appears distressed. Subject exits park east gate. Pattern matches KB theft-of-found-property.</t>
        </is>
      </c>
      <c r="J25" s="21" t="inlineStr"/>
      <c r="K25" s="17" t="inlineStr">
        <is>
          <t>pending</t>
        </is>
      </c>
      <c r="L25" s="17" t="inlineStr"/>
      <c r="M25" s="17" t="inlineStr"/>
      <c r="N25" s="17" t="inlineStr"/>
      <c r="O25" s="17" t="inlineStr">
        <is>
          <t>No</t>
        </is>
      </c>
      <c r="P25" s="17" t="inlineStr">
        <is>
          <t>No</t>
        </is>
      </c>
      <c r="Q25" s="17" t="inlineStr">
        <is>
          <t>No</t>
        </is>
      </c>
      <c r="R25" s="19" t="inlineStr">
        <is>
          <t>theft</t>
        </is>
      </c>
      <c r="S25" s="17" t="inlineStr">
        <is>
          <t>2026-09-12 16:04</t>
        </is>
      </c>
    </row>
    <row r="26" ht="60" customHeight="1">
      <c r="B26" s="22" t="inlineStr">
        <is>
          <t>SKY-AUD-0008</t>
        </is>
      </c>
      <c r="C26" s="23" t="inlineStr">
        <is>
          <t>audio</t>
        </is>
      </c>
      <c r="D26" s="22" t="inlineStr">
        <is>
          <t>voip-call</t>
        </is>
      </c>
      <c r="E26" s="22" t="inlineStr">
        <is>
          <t>Phone Call — Inbound 080-XXXX-1234</t>
        </is>
      </c>
      <c r="F26" s="24" t="inlineStr">
        <is>
          <t>impersonation</t>
        </is>
      </c>
      <c r="G26" s="23" t="inlineStr">
        <is>
          <t>high</t>
        </is>
      </c>
      <c r="H26" s="25" t="n">
        <v>0.8100000000000001</v>
      </c>
      <c r="I26" s="26" t="inlineStr">
        <is>
          <t>Caller claims to be District Magistrate, threatens property seizure unless 25,000 rupees paid 'to clear the case'. Refuses to provide written notice number. Voice impersonation of judicial authority.</t>
        </is>
      </c>
      <c r="J26" s="26" t="inlineStr">
        <is>
          <t>I am the District Magistrate of your district. There is a case pending against your property. If you do not pay 25,000 rupees today to clear the case, your property will be seized tomorrow morning.</t>
        </is>
      </c>
      <c r="K26" s="22" t="inlineStr">
        <is>
          <t>pending</t>
        </is>
      </c>
      <c r="L26" s="22" t="inlineStr"/>
      <c r="M26" s="22" t="inlineStr"/>
      <c r="N26" s="22" t="inlineStr"/>
      <c r="O26" s="22" t="inlineStr">
        <is>
          <t>Yes</t>
        </is>
      </c>
      <c r="P26" s="22" t="inlineStr">
        <is>
          <t>No</t>
        </is>
      </c>
      <c r="Q26" s="22" t="inlineStr">
        <is>
          <t>Yes</t>
        </is>
      </c>
      <c r="R26" s="24" t="inlineStr">
        <is>
          <t>impersonation</t>
        </is>
      </c>
      <c r="S26" s="22" t="inlineStr">
        <is>
          <t>2026-09-14 05:21</t>
        </is>
      </c>
    </row>
    <row r="27" ht="38" customHeight="1">
      <c r="B27" s="17" t="inlineStr">
        <is>
          <t>SKY-IMG-0008</t>
        </is>
      </c>
      <c r="C27" s="18" t="inlineStr">
        <is>
          <t>image</t>
        </is>
      </c>
      <c r="D27" s="17" t="inlineStr">
        <is>
          <t>satellite-image</t>
        </is>
      </c>
      <c r="E27" s="17" t="inlineStr">
        <is>
          <t>Hospital ER — Triage Cam</t>
        </is>
      </c>
      <c r="F27" s="19" t="inlineStr">
        <is>
          <t>other</t>
        </is>
      </c>
      <c r="G27" s="18" t="inlineStr">
        <is>
          <t>low</t>
        </is>
      </c>
      <c r="H27" s="20" t="n">
        <v>0.19</v>
      </c>
      <c r="I27" s="21" t="inlineStr">
        <is>
          <t>Image shows hospital ER triage area during low-traffic period. One patient seated, two staff visible, no altercation. Routine ER operation.</t>
        </is>
      </c>
      <c r="J27" s="21" t="inlineStr"/>
      <c r="K27" s="17" t="inlineStr">
        <is>
          <t>approved</t>
        </is>
      </c>
      <c r="L27" s="17" t="inlineStr">
        <is>
          <t>analyst-patel</t>
        </is>
      </c>
      <c r="M27" s="17" t="inlineStr">
        <is>
          <t>False positive confirmed. Approved.</t>
        </is>
      </c>
      <c r="N27" s="17" t="inlineStr">
        <is>
          <t>2026-09-16 01:31</t>
        </is>
      </c>
      <c r="O27" s="17" t="inlineStr">
        <is>
          <t>No</t>
        </is>
      </c>
      <c r="P27" s="17" t="inlineStr">
        <is>
          <t>No</t>
        </is>
      </c>
      <c r="Q27" s="17" t="inlineStr">
        <is>
          <t>No</t>
        </is>
      </c>
      <c r="R27" s="19" t="inlineStr">
        <is>
          <t>other</t>
        </is>
      </c>
      <c r="S27" s="17" t="inlineStr">
        <is>
          <t>2026-09-14 02:31</t>
        </is>
      </c>
    </row>
    <row r="28" ht="60" customHeight="1">
      <c r="B28" s="22" t="inlineStr">
        <is>
          <t>SKY-AUD-0009</t>
        </is>
      </c>
      <c r="C28" s="23" t="inlineStr">
        <is>
          <t>audio</t>
        </is>
      </c>
      <c r="D28" s="22" t="inlineStr">
        <is>
          <t>intercepted-call</t>
        </is>
      </c>
      <c r="E28" s="22" t="inlineStr">
        <is>
          <t>VOIP — Helpdesk Line</t>
        </is>
      </c>
      <c r="F28" s="24" t="inlineStr">
        <is>
          <t>scam</t>
        </is>
      </c>
      <c r="G28" s="23" t="inlineStr">
        <is>
          <t>moderate</t>
        </is>
      </c>
      <c r="H28" s="25" t="n">
        <v>0.71</v>
      </c>
      <c r="I28" s="26" t="inlineStr">
        <is>
          <t>Caller from 'tech support' claims victim's computer is 'sending error reports' and offers remote cleanup. Requests remote-access app install. Pattern matches KB tech-support scam indicators.</t>
        </is>
      </c>
      <c r="J28" s="26" t="inlineStr">
        <is>
          <t>Hello, this is Microsoft Windows Support. Your computer has been sending error reports to our server. We need to clean it remotely. Please install TeamViewer so I can fix it for you.</t>
        </is>
      </c>
      <c r="K28" s="22" t="inlineStr">
        <is>
          <t>approved</t>
        </is>
      </c>
      <c r="L28" s="22" t="inlineStr">
        <is>
          <t>analyst-sharma</t>
        </is>
      </c>
      <c r="M28" s="22" t="inlineStr"/>
      <c r="N28" s="22" t="inlineStr">
        <is>
          <t>2026-09-14 14:30</t>
        </is>
      </c>
      <c r="O28" s="22" t="inlineStr">
        <is>
          <t>No</t>
        </is>
      </c>
      <c r="P28" s="22" t="inlineStr">
        <is>
          <t>No</t>
        </is>
      </c>
      <c r="Q28" s="22" t="inlineStr">
        <is>
          <t>No</t>
        </is>
      </c>
      <c r="R28" s="24" t="inlineStr">
        <is>
          <t>scam</t>
        </is>
      </c>
      <c r="S28" s="22" t="inlineStr">
        <is>
          <t>2026-09-14 01:30</t>
        </is>
      </c>
    </row>
    <row r="29" ht="60" customHeight="1">
      <c r="B29" s="17" t="inlineStr">
        <is>
          <t>SKY-AUD-0010</t>
        </is>
      </c>
      <c r="C29" s="18" t="inlineStr">
        <is>
          <t>audio</t>
        </is>
      </c>
      <c r="D29" s="17" t="inlineStr">
        <is>
          <t>radio-chatter</t>
        </is>
      </c>
      <c r="E29" s="17" t="inlineStr">
        <is>
          <t>Phone Call — Inbound 080-XXXX-5678</t>
        </is>
      </c>
      <c r="F29" s="19" t="inlineStr">
        <is>
          <t>other</t>
        </is>
      </c>
      <c r="G29" s="18" t="inlineStr">
        <is>
          <t>low</t>
        </is>
      </c>
      <c r="H29" s="20" t="n">
        <v>0.15</v>
      </c>
      <c r="I29" s="21" t="inlineStr">
        <is>
          <t>Benign inbound call. Caller is a colleague discussing a meeting agenda for tomorrow. No sensitive information exchanged, no urgency, no impersonation. Standard office call.</t>
        </is>
      </c>
      <c r="J29" s="21" t="inlineStr">
        <is>
          <t>Hi Ravi, just calling to confirm tomorrow's meeting is still at 10 AM in conference room 3. I will bring the Q3 report drafts. See you then.</t>
        </is>
      </c>
      <c r="K29" s="17" t="inlineStr">
        <is>
          <t>approved</t>
        </is>
      </c>
      <c r="L29" s="17" t="inlineStr">
        <is>
          <t>analyst-sharma</t>
        </is>
      </c>
      <c r="M29" s="17" t="inlineStr">
        <is>
          <t>Reviewed — benign. Approved for archive.</t>
        </is>
      </c>
      <c r="N29" s="17" t="inlineStr">
        <is>
          <t>2026-09-15 17:27</t>
        </is>
      </c>
      <c r="O29" s="17" t="inlineStr">
        <is>
          <t>No</t>
        </is>
      </c>
      <c r="P29" s="17" t="inlineStr">
        <is>
          <t>No</t>
        </is>
      </c>
      <c r="Q29" s="17" t="inlineStr">
        <is>
          <t>No</t>
        </is>
      </c>
      <c r="R29" s="19" t="inlineStr">
        <is>
          <t>other</t>
        </is>
      </c>
      <c r="S29" s="17" t="inlineStr">
        <is>
          <t>2026-09-13 21:27</t>
        </is>
      </c>
    </row>
    <row r="30" ht="38" customHeight="1">
      <c r="B30" s="22" t="inlineStr">
        <is>
          <t>SKY-VID-0008</t>
        </is>
      </c>
      <c r="C30" s="23" t="inlineStr">
        <is>
          <t>video</t>
        </is>
      </c>
      <c r="D30" s="22" t="inlineStr">
        <is>
          <t>cctv-feed</t>
        </is>
      </c>
      <c r="E30" s="22" t="inlineStr">
        <is>
          <t>Train Station — Concourse</t>
        </is>
      </c>
      <c r="F30" s="24" t="inlineStr">
        <is>
          <t>theft</t>
        </is>
      </c>
      <c r="G30" s="23" t="inlineStr">
        <is>
          <t>moderate</t>
        </is>
      </c>
      <c r="H30" s="25" t="n">
        <v>0.68</v>
      </c>
      <c r="I30" s="26" t="inlineStr">
        <is>
          <t>Pickpocketing pattern detected: subject brushes against pedestrian in crowded concourse, removes item from victim's back pocket. Victim does not appear to notice. Subject exits frame east.</t>
        </is>
      </c>
      <c r="J30" s="26" t="inlineStr"/>
      <c r="K30" s="22" t="inlineStr">
        <is>
          <t>rejected</t>
        </is>
      </c>
      <c r="L30" s="22" t="inlineStr">
        <is>
          <t>operator-1</t>
        </is>
      </c>
      <c r="M30" s="22" t="inlineStr">
        <is>
          <t>Approved for logging. No immediate action.</t>
        </is>
      </c>
      <c r="N30" s="22" t="inlineStr">
        <is>
          <t>2026-09-14 05:25</t>
        </is>
      </c>
      <c r="O30" s="22" t="inlineStr">
        <is>
          <t>No</t>
        </is>
      </c>
      <c r="P30" s="22" t="inlineStr">
        <is>
          <t>No</t>
        </is>
      </c>
      <c r="Q30" s="22" t="inlineStr">
        <is>
          <t>No</t>
        </is>
      </c>
      <c r="R30" s="24" t="inlineStr">
        <is>
          <t>theft</t>
        </is>
      </c>
      <c r="S30" s="22" t="inlineStr">
        <is>
          <t>2026-09-13 16:25</t>
        </is>
      </c>
    </row>
    <row r="31" ht="38" customHeight="1">
      <c r="B31" s="17" t="inlineStr">
        <is>
          <t>SKY-IMG-0009</t>
        </is>
      </c>
      <c r="C31" s="18" t="inlineStr">
        <is>
          <t>image</t>
        </is>
      </c>
      <c r="D31" s="17" t="inlineStr">
        <is>
          <t>drone-capture</t>
        </is>
      </c>
      <c r="E31" s="17" t="inlineStr">
        <is>
          <t>ATM Lobby — Sector 12</t>
        </is>
      </c>
      <c r="F31" s="19" t="inlineStr">
        <is>
          <t>violence</t>
        </is>
      </c>
      <c r="G31" s="18" t="inlineStr">
        <is>
          <t>critical</t>
        </is>
      </c>
      <c r="H31" s="20" t="n">
        <v>0.87</v>
      </c>
      <c r="I31" s="21" t="inlineStr">
        <is>
          <t>Visible edged weapon raised by primary subject near the ATM lobby. Two potential victims within striking distance. Subject exhibits aggressive posture consistent with imminent assault. Recommend immediate dispatch.</t>
        </is>
      </c>
      <c r="J31" s="21" t="inlineStr"/>
      <c r="K31" s="17" t="inlineStr">
        <is>
          <t>escalated</t>
        </is>
      </c>
      <c r="L31" s="17" t="inlineStr">
        <is>
          <t>operator-3</t>
        </is>
      </c>
      <c r="M31" s="17" t="inlineStr">
        <is>
          <t>Confirmed pattern. Dispatched. Evidence preserved per SOP.</t>
        </is>
      </c>
      <c r="N31" s="17" t="inlineStr">
        <is>
          <t>2026-09-14 10:27</t>
        </is>
      </c>
      <c r="O31" s="17" t="inlineStr">
        <is>
          <t>Yes</t>
        </is>
      </c>
      <c r="P31" s="17" t="inlineStr">
        <is>
          <t>Yes</t>
        </is>
      </c>
      <c r="Q31" s="17" t="inlineStr">
        <is>
          <t>Yes</t>
        </is>
      </c>
      <c r="R31" s="19" t="inlineStr">
        <is>
          <t>violence</t>
        </is>
      </c>
      <c r="S31" s="17" t="inlineStr">
        <is>
          <t>2026-09-13 18:27</t>
        </is>
      </c>
    </row>
    <row r="32" ht="60" customHeight="1">
      <c r="B32" s="22" t="inlineStr">
        <is>
          <t>SKY-AUD-0011</t>
        </is>
      </c>
      <c r="C32" s="23" t="inlineStr">
        <is>
          <t>audio</t>
        </is>
      </c>
      <c r="D32" s="22" t="inlineStr">
        <is>
          <t>voip-call</t>
        </is>
      </c>
      <c r="E32" s="22" t="inlineStr">
        <is>
          <t>Phone Call — Inbound 080-XXXX-1234</t>
        </is>
      </c>
      <c r="F32" s="24" t="inlineStr">
        <is>
          <t>fraud</t>
        </is>
      </c>
      <c r="G32" s="23" t="inlineStr">
        <is>
          <t>moderate</t>
        </is>
      </c>
      <c r="H32" s="25" t="n">
        <v>0.67</v>
      </c>
      <c r="I32" s="26" t="inlineStr">
        <is>
          <t>Caller offers pre-approved loan at 'very low interest', asks for processing fee of 2,500 rupees via UPI and PAN card details. Pattern matches KB loan-fraud indicators. No RBI registration number provided.</t>
        </is>
      </c>
      <c r="J32" s="26" t="inlineStr">
        <is>
          <t>Sir, your loan of 5 lakh rupees has been pre-approved. You just need to pay a processing fee of 2500 rupees via UPI and share your PAN card details to disburse the amount.</t>
        </is>
      </c>
      <c r="K32" s="22" t="inlineStr">
        <is>
          <t>pending</t>
        </is>
      </c>
      <c r="L32" s="22" t="inlineStr"/>
      <c r="M32" s="22" t="inlineStr"/>
      <c r="N32" s="22" t="inlineStr"/>
      <c r="O32" s="22" t="inlineStr">
        <is>
          <t>No</t>
        </is>
      </c>
      <c r="P32" s="22" t="inlineStr">
        <is>
          <t>No</t>
        </is>
      </c>
      <c r="Q32" s="22" t="inlineStr">
        <is>
          <t>No</t>
        </is>
      </c>
      <c r="R32" s="24" t="inlineStr">
        <is>
          <t>fraud</t>
        </is>
      </c>
      <c r="S32" s="22" t="inlineStr">
        <is>
          <t>2026-09-13 23:51</t>
        </is>
      </c>
    </row>
    <row r="33" ht="38" customHeight="1">
      <c r="B33" s="17" t="inlineStr">
        <is>
          <t>SKY-VID-0009</t>
        </is>
      </c>
      <c r="C33" s="18" t="inlineStr">
        <is>
          <t>video</t>
        </is>
      </c>
      <c r="D33" s="17" t="inlineStr">
        <is>
          <t>dash-cam</t>
        </is>
      </c>
      <c r="E33" s="17" t="inlineStr">
        <is>
          <t>Warehouse Perimeter — East Gate</t>
        </is>
      </c>
      <c r="F33" s="19" t="inlineStr">
        <is>
          <t>unauthorized-entry</t>
        </is>
      </c>
      <c r="G33" s="18" t="inlineStr">
        <is>
          <t>high</t>
        </is>
      </c>
      <c r="H33" s="20" t="n">
        <v>0.75</v>
      </c>
      <c r="I33" s="21" t="inlineStr">
        <is>
          <t>Subject in dark clothing climbs perimeter fence at East Gate at 03:14 local time. No visible credentials. Heads toward warehouse loading dock. Motion-region trigger fired on restricted zone.</t>
        </is>
      </c>
      <c r="J33" s="21" t="inlineStr"/>
      <c r="K33" s="17" t="inlineStr">
        <is>
          <t>pending</t>
        </is>
      </c>
      <c r="L33" s="17" t="inlineStr"/>
      <c r="M33" s="17" t="inlineStr"/>
      <c r="N33" s="17" t="inlineStr"/>
      <c r="O33" s="17" t="inlineStr">
        <is>
          <t>Yes</t>
        </is>
      </c>
      <c r="P33" s="17" t="inlineStr">
        <is>
          <t>No</t>
        </is>
      </c>
      <c r="Q33" s="17" t="inlineStr">
        <is>
          <t>Yes</t>
        </is>
      </c>
      <c r="R33" s="19" t="inlineStr">
        <is>
          <t>unauthorized-entry</t>
        </is>
      </c>
      <c r="S33" s="17" t="inlineStr">
        <is>
          <t>2026-09-15 05:00</t>
        </is>
      </c>
    </row>
    <row r="34" ht="38" customHeight="1">
      <c r="B34" s="22" t="inlineStr">
        <is>
          <t>SKY-IMG-0010</t>
        </is>
      </c>
      <c r="C34" s="23" t="inlineStr">
        <is>
          <t>image</t>
        </is>
      </c>
      <c r="D34" s="22" t="inlineStr">
        <is>
          <t>phone-upload</t>
        </is>
      </c>
      <c r="E34" s="22" t="inlineStr">
        <is>
          <t>Gas Station — Pump 3</t>
        </is>
      </c>
      <c r="F34" s="24" t="inlineStr">
        <is>
          <t>accident</t>
        </is>
      </c>
      <c r="G34" s="23" t="inlineStr">
        <is>
          <t>moderate</t>
        </is>
      </c>
      <c r="H34" s="25" t="n">
        <v>0.75</v>
      </c>
      <c r="I34" s="26" t="inlineStr">
        <is>
          <t>Single-vehicle incident at pump 3. Vehicle mounted curb, no other vehicles involved. Driver appears alert and exiting vehicle. Possible medical event. Recommend medical and roadside assist.</t>
        </is>
      </c>
      <c r="J34" s="26" t="inlineStr"/>
      <c r="K34" s="22" t="inlineStr">
        <is>
          <t>approved</t>
        </is>
      </c>
      <c r="L34" s="22" t="inlineStr">
        <is>
          <t>analyst-sharma</t>
        </is>
      </c>
      <c r="M34" s="22" t="inlineStr">
        <is>
          <t>Approved for logging. No immediate action.</t>
        </is>
      </c>
      <c r="N34" s="22" t="inlineStr">
        <is>
          <t>2026-09-15 20:26</t>
        </is>
      </c>
      <c r="O34" s="22" t="inlineStr">
        <is>
          <t>No</t>
        </is>
      </c>
      <c r="P34" s="22" t="inlineStr">
        <is>
          <t>No</t>
        </is>
      </c>
      <c r="Q34" s="22" t="inlineStr">
        <is>
          <t>No</t>
        </is>
      </c>
      <c r="R34" s="24" t="inlineStr">
        <is>
          <t>accident</t>
        </is>
      </c>
      <c r="S34" s="22" t="inlineStr">
        <is>
          <t>2026-09-14 18:26</t>
        </is>
      </c>
    </row>
    <row r="35" ht="38" customHeight="1">
      <c r="B35" s="17" t="inlineStr">
        <is>
          <t>SKY-IMG-0011</t>
        </is>
      </c>
      <c r="C35" s="18" t="inlineStr">
        <is>
          <t>image</t>
        </is>
      </c>
      <c r="D35" s="17" t="inlineStr">
        <is>
          <t>phone-upload</t>
        </is>
      </c>
      <c r="E35" s="17" t="inlineStr">
        <is>
          <t>Train Station — Concourse</t>
        </is>
      </c>
      <c r="F35" s="19" t="inlineStr">
        <is>
          <t>other</t>
        </is>
      </c>
      <c r="G35" s="18" t="inlineStr">
        <is>
          <t>low</t>
        </is>
      </c>
      <c r="H35" s="20" t="n">
        <v>0.24</v>
      </c>
      <c r="I35" s="21" t="inlineStr">
        <is>
          <t>No security-relevant activity detected. Image shows normal pedestrian traffic on concourse during peak hours. No raised weapons, no altercation, no theft pattern. Likely benign.</t>
        </is>
      </c>
      <c r="J35" s="21" t="inlineStr"/>
      <c r="K35" s="17" t="inlineStr">
        <is>
          <t>approved</t>
        </is>
      </c>
      <c r="L35" s="17" t="inlineStr">
        <is>
          <t>operator-3</t>
        </is>
      </c>
      <c r="M35" s="17" t="inlineStr"/>
      <c r="N35" s="17" t="inlineStr">
        <is>
          <t>2026-09-15 17:00</t>
        </is>
      </c>
      <c r="O35" s="17" t="inlineStr">
        <is>
          <t>No</t>
        </is>
      </c>
      <c r="P35" s="17" t="inlineStr">
        <is>
          <t>No</t>
        </is>
      </c>
      <c r="Q35" s="17" t="inlineStr">
        <is>
          <t>No</t>
        </is>
      </c>
      <c r="R35" s="19" t="inlineStr">
        <is>
          <t>other</t>
        </is>
      </c>
      <c r="S35" s="17" t="inlineStr">
        <is>
          <t>2026-09-14 22:00</t>
        </is>
      </c>
    </row>
    <row r="36" ht="38" customHeight="1">
      <c r="B36" s="22" t="inlineStr">
        <is>
          <t>SKY-IMG-0012</t>
        </is>
      </c>
      <c r="C36" s="23" t="inlineStr">
        <is>
          <t>image</t>
        </is>
      </c>
      <c r="D36" s="22" t="inlineStr">
        <is>
          <t>manual-upload</t>
        </is>
      </c>
      <c r="E36" s="22" t="inlineStr">
        <is>
          <t>ATM Lobby — Sector 12</t>
        </is>
      </c>
      <c r="F36" s="24" t="inlineStr">
        <is>
          <t>other</t>
        </is>
      </c>
      <c r="G36" s="23" t="inlineStr">
        <is>
          <t>low</t>
        </is>
      </c>
      <c r="H36" s="25" t="n">
        <v>0.13</v>
      </c>
      <c r="I36" s="26" t="inlineStr">
        <is>
          <t>Image shows ATM lobby with one customer using the machine normally. No second person present, no unusual device on the ATM, no skimmer indicators. Routine transaction.</t>
        </is>
      </c>
      <c r="J36" s="26" t="inlineStr"/>
      <c r="K36" s="22" t="inlineStr">
        <is>
          <t>approved</t>
        </is>
      </c>
      <c r="L36" s="22" t="inlineStr">
        <is>
          <t>operator-2</t>
        </is>
      </c>
      <c r="M36" s="22" t="inlineStr">
        <is>
          <t>False positive confirmed. Approved.</t>
        </is>
      </c>
      <c r="N36" s="22" t="inlineStr">
        <is>
          <t>2026-09-15 21:45</t>
        </is>
      </c>
      <c r="O36" s="22" t="inlineStr">
        <is>
          <t>No</t>
        </is>
      </c>
      <c r="P36" s="22" t="inlineStr">
        <is>
          <t>No</t>
        </is>
      </c>
      <c r="Q36" s="22" t="inlineStr">
        <is>
          <t>No</t>
        </is>
      </c>
      <c r="R36" s="24" t="inlineStr">
        <is>
          <t>other</t>
        </is>
      </c>
      <c r="S36" s="22" t="inlineStr">
        <is>
          <t>2026-09-15 02:45</t>
        </is>
      </c>
    </row>
    <row r="37" ht="38" customHeight="1">
      <c r="B37" s="17" t="inlineStr">
        <is>
          <t>SKY-IMG-0013</t>
        </is>
      </c>
      <c r="C37" s="18" t="inlineStr">
        <is>
          <t>image</t>
        </is>
      </c>
      <c r="D37" s="17" t="inlineStr">
        <is>
          <t>cctv-feed</t>
        </is>
      </c>
      <c r="E37" s="17" t="inlineStr">
        <is>
          <t>Parking Lot — Level B2</t>
        </is>
      </c>
      <c r="F37" s="19" t="inlineStr">
        <is>
          <t>accident</t>
        </is>
      </c>
      <c r="G37" s="18" t="inlineStr">
        <is>
          <t>moderate</t>
        </is>
      </c>
      <c r="H37" s="20" t="n">
        <v>0.58</v>
      </c>
      <c r="I37" s="21" t="inlineStr">
        <is>
          <t>Minor fender-bender in parking lot. Two vehicles in contact, no visible damage. Drivers exchanging words. No injuries. No fire risk. Recommend parking-lot security to facilitate exchange.</t>
        </is>
      </c>
      <c r="J37" s="21" t="inlineStr"/>
      <c r="K37" s="17" t="inlineStr">
        <is>
          <t>pending</t>
        </is>
      </c>
      <c r="L37" s="17" t="inlineStr"/>
      <c r="M37" s="17" t="inlineStr"/>
      <c r="N37" s="17" t="inlineStr"/>
      <c r="O37" s="17" t="inlineStr">
        <is>
          <t>No</t>
        </is>
      </c>
      <c r="P37" s="17" t="inlineStr">
        <is>
          <t>No</t>
        </is>
      </c>
      <c r="Q37" s="17" t="inlineStr">
        <is>
          <t>No</t>
        </is>
      </c>
      <c r="R37" s="19" t="inlineStr">
        <is>
          <t>accident</t>
        </is>
      </c>
      <c r="S37" s="17" t="inlineStr">
        <is>
          <t>2026-09-15 01:47</t>
        </is>
      </c>
    </row>
    <row r="38" ht="38" customHeight="1">
      <c r="B38" s="22" t="inlineStr">
        <is>
          <t>SKY-VID-0010</t>
        </is>
      </c>
      <c r="C38" s="23" t="inlineStr">
        <is>
          <t>video</t>
        </is>
      </c>
      <c r="D38" s="22" t="inlineStr">
        <is>
          <t>cctv-feed</t>
        </is>
      </c>
      <c r="E38" s="22" t="inlineStr">
        <is>
          <t>Highway 7 — Junction 14</t>
        </is>
      </c>
      <c r="F38" s="24" t="inlineStr">
        <is>
          <t>accident</t>
        </is>
      </c>
      <c r="G38" s="23" t="inlineStr">
        <is>
          <t>high</t>
        </is>
      </c>
      <c r="H38" s="25" t="n">
        <v>0.84</v>
      </c>
      <c r="I38" s="26" t="inlineStr">
        <is>
          <t>Two-vehicle collision at Junction 14. White sedan T-boned by SUV. Airbag deployment visible in sedan. One occupant exits vehicle and lies down on road. Ambulance and traffic police dispatched.</t>
        </is>
      </c>
      <c r="J38" s="26" t="inlineStr"/>
      <c r="K38" s="22" t="inlineStr">
        <is>
          <t>approved</t>
        </is>
      </c>
      <c r="L38" s="22" t="inlineStr">
        <is>
          <t>analyst-patel</t>
        </is>
      </c>
      <c r="M38" s="22" t="inlineStr">
        <is>
          <t>Verified category. Approved. Reviewer on shift at time of incident.</t>
        </is>
      </c>
      <c r="N38" s="22" t="inlineStr">
        <is>
          <t>2026-09-14 20:37</t>
        </is>
      </c>
      <c r="O38" s="22" t="inlineStr">
        <is>
          <t>Yes</t>
        </is>
      </c>
      <c r="P38" s="22" t="inlineStr">
        <is>
          <t>No</t>
        </is>
      </c>
      <c r="Q38" s="22" t="inlineStr">
        <is>
          <t>Yes</t>
        </is>
      </c>
      <c r="R38" s="24" t="inlineStr">
        <is>
          <t>accident</t>
        </is>
      </c>
      <c r="S38" s="22" t="inlineStr">
        <is>
          <t>2026-09-14 16:37</t>
        </is>
      </c>
    </row>
    <row r="39" ht="38" customHeight="1">
      <c r="B39" s="17" t="inlineStr">
        <is>
          <t>SKY-IMG-0014</t>
        </is>
      </c>
      <c r="C39" s="18" t="inlineStr">
        <is>
          <t>image</t>
        </is>
      </c>
      <c r="D39" s="17" t="inlineStr">
        <is>
          <t>cctv-feed</t>
        </is>
      </c>
      <c r="E39" s="17" t="inlineStr">
        <is>
          <t>Stadium — Section 104</t>
        </is>
      </c>
      <c r="F39" s="19" t="inlineStr">
        <is>
          <t>other</t>
        </is>
      </c>
      <c r="G39" s="18" t="inlineStr">
        <is>
          <t>low</t>
        </is>
      </c>
      <c r="H39" s="20" t="n">
        <v>0.22</v>
      </c>
      <c r="I39" s="21" t="inlineStr">
        <is>
          <t>Image shows stadium section 104 during pre-event setup. Crew members in uniforms, no public in stands. No unauthorized personnel, no weapon indicators. Routine setup activity.</t>
        </is>
      </c>
      <c r="J39" s="21" t="inlineStr"/>
      <c r="K39" s="17" t="inlineStr">
        <is>
          <t>approved</t>
        </is>
      </c>
      <c r="L39" s="17" t="inlineStr">
        <is>
          <t>analyst-patel</t>
        </is>
      </c>
      <c r="M39" s="17" t="inlineStr">
        <is>
          <t>Reviewed — benign. Approved for archive.</t>
        </is>
      </c>
      <c r="N39" s="17" t="inlineStr">
        <is>
          <t>2026-09-17 01:11</t>
        </is>
      </c>
      <c r="O39" s="17" t="inlineStr">
        <is>
          <t>No</t>
        </is>
      </c>
      <c r="P39" s="17" t="inlineStr">
        <is>
          <t>No</t>
        </is>
      </c>
      <c r="Q39" s="17" t="inlineStr">
        <is>
          <t>No</t>
        </is>
      </c>
      <c r="R39" s="19" t="inlineStr">
        <is>
          <t>other</t>
        </is>
      </c>
      <c r="S39" s="17" t="inlineStr">
        <is>
          <t>2026-09-15 05:11</t>
        </is>
      </c>
    </row>
    <row r="40" ht="60" customHeight="1">
      <c r="B40" s="22" t="inlineStr">
        <is>
          <t>SKY-AUD-0012</t>
        </is>
      </c>
      <c r="C40" s="23" t="inlineStr">
        <is>
          <t>audio</t>
        </is>
      </c>
      <c r="D40" s="22" t="inlineStr">
        <is>
          <t>radio-chatter</t>
        </is>
      </c>
      <c r="E40" s="22" t="inlineStr">
        <is>
          <t>Phone Call — Inbound 080-XXXX-1234</t>
        </is>
      </c>
      <c r="F40" s="24" t="inlineStr">
        <is>
          <t>other</t>
        </is>
      </c>
      <c r="G40" s="23" t="inlineStr">
        <is>
          <t>low</t>
        </is>
      </c>
      <c r="H40" s="25" t="n">
        <v>0.21</v>
      </c>
      <c r="I40" s="26" t="inlineStr">
        <is>
          <t>No suspicious or fraudulent content identified in transcript. Conversation appears to be a family member updating on commute timing and grocery list. Standard benign call.</t>
        </is>
      </c>
      <c r="J40" s="26" t="inlineStr">
        <is>
          <t>Hi mom, I am going to be late coming home today. There is a lot of traffic near the office. I will pick up some groceries on the way back. Do you need anything from the store?</t>
        </is>
      </c>
      <c r="K40" s="22" t="inlineStr">
        <is>
          <t>approved</t>
        </is>
      </c>
      <c r="L40" s="22" t="inlineStr">
        <is>
          <t>analyst-patel</t>
        </is>
      </c>
      <c r="M40" s="22" t="inlineStr">
        <is>
          <t>Reviewed — benign. Approved for archive.</t>
        </is>
      </c>
      <c r="N40" s="22" t="inlineStr">
        <is>
          <t>2026-09-17 09:56</t>
        </is>
      </c>
      <c r="O40" s="22" t="inlineStr">
        <is>
          <t>No</t>
        </is>
      </c>
      <c r="P40" s="22" t="inlineStr">
        <is>
          <t>No</t>
        </is>
      </c>
      <c r="Q40" s="22" t="inlineStr">
        <is>
          <t>No</t>
        </is>
      </c>
      <c r="R40" s="24" t="inlineStr">
        <is>
          <t>other</t>
        </is>
      </c>
      <c r="S40" s="22" t="inlineStr">
        <is>
          <t>2026-09-15 17:56</t>
        </is>
      </c>
    </row>
    <row r="41" ht="38" customHeight="1">
      <c r="B41" s="17" t="inlineStr">
        <is>
          <t>SKY-IMG-0015</t>
        </is>
      </c>
      <c r="C41" s="18" t="inlineStr">
        <is>
          <t>image</t>
        </is>
      </c>
      <c r="D41" s="17" t="inlineStr">
        <is>
          <t>manual-upload</t>
        </is>
      </c>
      <c r="E41" s="17" t="inlineStr">
        <is>
          <t>Warehouse Perimeter — East Gate</t>
        </is>
      </c>
      <c r="F41" s="19" t="inlineStr">
        <is>
          <t>fire</t>
        </is>
      </c>
      <c r="G41" s="18" t="inlineStr">
        <is>
          <t>critical</t>
        </is>
      </c>
      <c r="H41" s="20" t="n">
        <v>0.89</v>
      </c>
      <c r="I41" s="21" t="inlineStr">
        <is>
          <t>Active flame visible reaching ~1m height with dense smoke behind it, in what appears to be an industrial storage area. Rapid spread risk to adjacent combustible materials. Critical evac indicator.</t>
        </is>
      </c>
      <c r="J41" s="21" t="inlineStr"/>
      <c r="K41" s="17" t="inlineStr">
        <is>
          <t>escalated</t>
        </is>
      </c>
      <c r="L41" s="17" t="inlineStr">
        <is>
          <t>operator-3</t>
        </is>
      </c>
      <c r="M41" s="17" t="inlineStr">
        <is>
          <t>Verified against KB — escalated to field team immediately.</t>
        </is>
      </c>
      <c r="N41" s="17" t="inlineStr">
        <is>
          <t>2026-09-17 20:33</t>
        </is>
      </c>
      <c r="O41" s="17" t="inlineStr">
        <is>
          <t>Yes</t>
        </is>
      </c>
      <c r="P41" s="17" t="inlineStr">
        <is>
          <t>Yes</t>
        </is>
      </c>
      <c r="Q41" s="17" t="inlineStr">
        <is>
          <t>Yes</t>
        </is>
      </c>
      <c r="R41" s="19" t="inlineStr">
        <is>
          <t>fire</t>
        </is>
      </c>
      <c r="S41" s="17" t="inlineStr">
        <is>
          <t>2026-09-16 01:33</t>
        </is>
      </c>
    </row>
    <row r="42" ht="60" customHeight="1">
      <c r="B42" s="22" t="inlineStr">
        <is>
          <t>SKY-AUD-0013</t>
        </is>
      </c>
      <c r="C42" s="23" t="inlineStr">
        <is>
          <t>audio</t>
        </is>
      </c>
      <c r="D42" s="22" t="inlineStr">
        <is>
          <t>phone-call</t>
        </is>
      </c>
      <c r="E42" s="22" t="inlineStr">
        <is>
          <t>Phone Call — Inbound 080-XXXX-5678</t>
        </is>
      </c>
      <c r="F42" s="24" t="inlineStr">
        <is>
          <t>scam</t>
        </is>
      </c>
      <c r="G42" s="23" t="inlineStr">
        <is>
          <t>high</t>
        </is>
      </c>
      <c r="H42" s="25" t="n">
        <v>0.82</v>
      </c>
      <c r="I42" s="26" t="inlineStr">
        <is>
          <t>Caller claims victim won 10 lakh rupees lottery, demands 5,000 rupees 'processing fee' via UPI. Refuses to deduct fee from winnings — classic KB lottery-scam indicator. Multiple KB cues matched.</t>
        </is>
      </c>
      <c r="J42" s="26" t="inlineStr">
        <is>
          <t>Congratulations sir, you have won 10 lakh rupees in the KBC lottery. To claim your prize, please pay a processing fee of 5000 rupees through UPI to this number. We cannot deduct it from your winnings as per RBI rules.</t>
        </is>
      </c>
      <c r="K42" s="22" t="inlineStr">
        <is>
          <t>approved</t>
        </is>
      </c>
      <c r="L42" s="22" t="inlineStr">
        <is>
          <t>operator-3</t>
        </is>
      </c>
      <c r="M42" s="22" t="inlineStr"/>
      <c r="N42" s="22" t="inlineStr">
        <is>
          <t>2026-09-16 17:25</t>
        </is>
      </c>
      <c r="O42" s="22" t="inlineStr">
        <is>
          <t>Yes</t>
        </is>
      </c>
      <c r="P42" s="22" t="inlineStr">
        <is>
          <t>No</t>
        </is>
      </c>
      <c r="Q42" s="22" t="inlineStr">
        <is>
          <t>Yes</t>
        </is>
      </c>
      <c r="R42" s="24" t="inlineStr">
        <is>
          <t>scam</t>
        </is>
      </c>
      <c r="S42" s="22" t="inlineStr">
        <is>
          <t>2026-09-15 20:25</t>
        </is>
      </c>
    </row>
    <row r="43" ht="60" customHeight="1">
      <c r="B43" s="17" t="inlineStr">
        <is>
          <t>SKY-AUD-0014</t>
        </is>
      </c>
      <c r="C43" s="18" t="inlineStr">
        <is>
          <t>audio</t>
        </is>
      </c>
      <c r="D43" s="17" t="inlineStr">
        <is>
          <t>voip-call</t>
        </is>
      </c>
      <c r="E43" s="17" t="inlineStr">
        <is>
          <t>Phone Call — Inbound 080-XXXX-5678</t>
        </is>
      </c>
      <c r="F43" s="19" t="inlineStr">
        <is>
          <t>other</t>
        </is>
      </c>
      <c r="G43" s="18" t="inlineStr">
        <is>
          <t>low</t>
        </is>
      </c>
      <c r="H43" s="20" t="n">
        <v>0.22</v>
      </c>
      <c r="I43" s="21" t="inlineStr">
        <is>
          <t>Inbound call from friend planning weekend trip. Casual conversation, no urgency, no sensitive information. Standard personal call. Benign.</t>
        </is>
      </c>
      <c r="J43" s="21" t="inlineStr">
        <is>
          <t>Hey Arjun, are we still on for the trip this weekend? I was thinking we leave Saturday morning around 6 AM. Let me know what works for you. Take care.</t>
        </is>
      </c>
      <c r="K43" s="17" t="inlineStr">
        <is>
          <t>approved</t>
        </is>
      </c>
      <c r="L43" s="17" t="inlineStr">
        <is>
          <t>operator-1</t>
        </is>
      </c>
      <c r="M43" s="17" t="inlineStr">
        <is>
          <t>False positive confirmed. Approved.</t>
        </is>
      </c>
      <c r="N43" s="17" t="inlineStr">
        <is>
          <t>2026-09-17 01:29</t>
        </is>
      </c>
      <c r="O43" s="17" t="inlineStr">
        <is>
          <t>No</t>
        </is>
      </c>
      <c r="P43" s="17" t="inlineStr">
        <is>
          <t>No</t>
        </is>
      </c>
      <c r="Q43" s="17" t="inlineStr">
        <is>
          <t>No</t>
        </is>
      </c>
      <c r="R43" s="19" t="inlineStr">
        <is>
          <t>other</t>
        </is>
      </c>
      <c r="S43" s="17" t="inlineStr">
        <is>
          <t>2026-09-15 16:29</t>
        </is>
      </c>
    </row>
    <row r="44" ht="38" customHeight="1">
      <c r="B44" s="22" t="inlineStr">
        <is>
          <t>SKY-IMG-0016</t>
        </is>
      </c>
      <c r="C44" s="23" t="inlineStr">
        <is>
          <t>image</t>
        </is>
      </c>
      <c r="D44" s="22" t="inlineStr">
        <is>
          <t>satellite-image</t>
        </is>
      </c>
      <c r="E44" s="22" t="inlineStr">
        <is>
          <t>Warehouse Perimeter — East Gate</t>
        </is>
      </c>
      <c r="F44" s="24" t="inlineStr">
        <is>
          <t>fire</t>
        </is>
      </c>
      <c r="G44" s="23" t="inlineStr">
        <is>
          <t>critical</t>
        </is>
      </c>
      <c r="H44" s="25" t="n">
        <v>0.9</v>
      </c>
      <c r="I44" s="26" t="inlineStr">
        <is>
          <t>Active flame visible reaching ~1m height with dense smoke behind it, in what appears to be an industrial storage area. Rapid spread risk to adjacent combustible materials. Critical evac indicator.</t>
        </is>
      </c>
      <c r="J44" s="26" t="inlineStr"/>
      <c r="K44" s="22" t="inlineStr">
        <is>
          <t>escalated</t>
        </is>
      </c>
      <c r="L44" s="22" t="inlineStr">
        <is>
          <t>operator-3</t>
        </is>
      </c>
      <c r="M44" s="22" t="inlineStr">
        <is>
          <t>Confirmed pattern. Dispatched. Evidence preserved per SOP.</t>
        </is>
      </c>
      <c r="N44" s="22" t="inlineStr">
        <is>
          <t>2026-09-16 17:04</t>
        </is>
      </c>
      <c r="O44" s="22" t="inlineStr">
        <is>
          <t>Yes</t>
        </is>
      </c>
      <c r="P44" s="22" t="inlineStr">
        <is>
          <t>Yes</t>
        </is>
      </c>
      <c r="Q44" s="22" t="inlineStr">
        <is>
          <t>Yes</t>
        </is>
      </c>
      <c r="R44" s="24" t="inlineStr">
        <is>
          <t>fire</t>
        </is>
      </c>
      <c r="S44" s="22" t="inlineStr">
        <is>
          <t>2026-09-16 06:04</t>
        </is>
      </c>
    </row>
    <row r="45" ht="38" customHeight="1">
      <c r="B45" s="17" t="inlineStr">
        <is>
          <t>SKY-VID-0011</t>
        </is>
      </c>
      <c r="C45" s="18" t="inlineStr">
        <is>
          <t>video</t>
        </is>
      </c>
      <c r="D45" s="17" t="inlineStr">
        <is>
          <t>dash-cam</t>
        </is>
      </c>
      <c r="E45" s="17" t="inlineStr">
        <is>
          <t>School Gate — Cam 02</t>
        </is>
      </c>
      <c r="F45" s="19" t="inlineStr">
        <is>
          <t>unauthorized-entry</t>
        </is>
      </c>
      <c r="G45" s="18" t="inlineStr">
        <is>
          <t>moderate</t>
        </is>
      </c>
      <c r="H45" s="20" t="n">
        <v>0.64</v>
      </c>
      <c r="I45" s="21" t="inlineStr">
        <is>
          <t>Subject enters school gate after hours (21:30 local). Walks toward administrative building. No visible forced entry. Could be staff with after-hours access — verify with school admin.</t>
        </is>
      </c>
      <c r="J45" s="21" t="inlineStr"/>
      <c r="K45" s="17" t="inlineStr">
        <is>
          <t>pending</t>
        </is>
      </c>
      <c r="L45" s="17" t="inlineStr"/>
      <c r="M45" s="17" t="inlineStr"/>
      <c r="N45" s="17" t="inlineStr"/>
      <c r="O45" s="17" t="inlineStr">
        <is>
          <t>No</t>
        </is>
      </c>
      <c r="P45" s="17" t="inlineStr">
        <is>
          <t>No</t>
        </is>
      </c>
      <c r="Q45" s="17" t="inlineStr">
        <is>
          <t>No</t>
        </is>
      </c>
      <c r="R45" s="19" t="inlineStr">
        <is>
          <t>unauthorized-entry</t>
        </is>
      </c>
      <c r="S45" s="17" t="inlineStr">
        <is>
          <t>2026-09-16 03:19</t>
        </is>
      </c>
    </row>
    <row r="46" ht="38" customHeight="1">
      <c r="B46" s="22" t="inlineStr">
        <is>
          <t>SKY-VID-0012</t>
        </is>
      </c>
      <c r="C46" s="23" t="inlineStr">
        <is>
          <t>video</t>
        </is>
      </c>
      <c r="D46" s="22" t="inlineStr">
        <is>
          <t>dash-cam</t>
        </is>
      </c>
      <c r="E46" s="22" t="inlineStr">
        <is>
          <t>School Gate — Cam 02</t>
        </is>
      </c>
      <c r="F46" s="24" t="inlineStr">
        <is>
          <t>other</t>
        </is>
      </c>
      <c r="G46" s="23" t="inlineStr">
        <is>
          <t>low</t>
        </is>
      </c>
      <c r="H46" s="25" t="n">
        <v>0.17</v>
      </c>
      <c r="I46" s="26" t="inlineStr">
        <is>
          <t>Video shows normal pedestrian flow at school gate during dismissal. Adults and children, no altercation, no unauthorized entry. Routine school dismissal activity.</t>
        </is>
      </c>
      <c r="J46" s="26" t="inlineStr"/>
      <c r="K46" s="22" t="inlineStr">
        <is>
          <t>approved</t>
        </is>
      </c>
      <c r="L46" s="22" t="inlineStr">
        <is>
          <t>operator-2</t>
        </is>
      </c>
      <c r="M46" s="22" t="inlineStr">
        <is>
          <t>Routine snapshot, no action required.</t>
        </is>
      </c>
      <c r="N46" s="22" t="inlineStr">
        <is>
          <t>2026-09-16 04:59</t>
        </is>
      </c>
      <c r="O46" s="22" t="inlineStr">
        <is>
          <t>No</t>
        </is>
      </c>
      <c r="P46" s="22" t="inlineStr">
        <is>
          <t>No</t>
        </is>
      </c>
      <c r="Q46" s="22" t="inlineStr">
        <is>
          <t>No</t>
        </is>
      </c>
      <c r="R46" s="24" t="inlineStr">
        <is>
          <t>other</t>
        </is>
      </c>
      <c r="S46" s="22" t="inlineStr">
        <is>
          <t>2026-09-15 20:59</t>
        </is>
      </c>
    </row>
    <row r="47" ht="38" customHeight="1">
      <c r="B47" s="17" t="inlineStr">
        <is>
          <t>SKY-VID-0013</t>
        </is>
      </c>
      <c r="C47" s="18" t="inlineStr">
        <is>
          <t>video</t>
        </is>
      </c>
      <c r="D47" s="17" t="inlineStr">
        <is>
          <t>dash-cam</t>
        </is>
      </c>
      <c r="E47" s="17" t="inlineStr">
        <is>
          <t>CCTV Cam 04 — Mall Entrance</t>
        </is>
      </c>
      <c r="F47" s="19" t="inlineStr">
        <is>
          <t>violence</t>
        </is>
      </c>
      <c r="G47" s="18" t="inlineStr">
        <is>
          <t>high</t>
        </is>
      </c>
      <c r="H47" s="20" t="n">
        <v>0.88</v>
      </c>
      <c r="I47" s="21" t="inlineStr">
        <is>
          <t>Brawl involving ~5 individuals at the mall entrance. Fists raised, multiple kicks exchanged. No visible weapons yet. Crowd gathering. De-escalation team and patrol dispatch recommended.</t>
        </is>
      </c>
      <c r="J47" s="21" t="inlineStr"/>
      <c r="K47" s="17" t="inlineStr">
        <is>
          <t>escalated</t>
        </is>
      </c>
      <c r="L47" s="17" t="inlineStr">
        <is>
          <t>analyst-patel</t>
        </is>
      </c>
      <c r="M47" s="17" t="inlineStr">
        <is>
          <t>Verified category. Approved. Reviewer on shift at time of incident.</t>
        </is>
      </c>
      <c r="N47" s="17" t="inlineStr">
        <is>
          <t>2026-09-18 16:17</t>
        </is>
      </c>
      <c r="O47" s="17" t="inlineStr">
        <is>
          <t>Yes</t>
        </is>
      </c>
      <c r="P47" s="17" t="inlineStr">
        <is>
          <t>No</t>
        </is>
      </c>
      <c r="Q47" s="17" t="inlineStr">
        <is>
          <t>Yes</t>
        </is>
      </c>
      <c r="R47" s="19" t="inlineStr">
        <is>
          <t>violence</t>
        </is>
      </c>
      <c r="S47" s="17" t="inlineStr">
        <is>
          <t>2026-09-16 18:17</t>
        </is>
      </c>
    </row>
    <row r="48" ht="38" customHeight="1">
      <c r="B48" s="22" t="inlineStr">
        <is>
          <t>SKY-VID-0014</t>
        </is>
      </c>
      <c r="C48" s="23" t="inlineStr">
        <is>
          <t>video</t>
        </is>
      </c>
      <c r="D48" s="22" t="inlineStr">
        <is>
          <t>phone-upload</t>
        </is>
      </c>
      <c r="E48" s="22" t="inlineStr">
        <is>
          <t>Parking Lot — Level B2</t>
        </is>
      </c>
      <c r="F48" s="24" t="inlineStr">
        <is>
          <t>other</t>
        </is>
      </c>
      <c r="G48" s="23" t="inlineStr">
        <is>
          <t>low</t>
        </is>
      </c>
      <c r="H48" s="25" t="n">
        <v>0.15</v>
      </c>
      <c r="I48" s="26" t="inlineStr">
        <is>
          <t>Video shows normal parking-lot activity during business hours. Vehicles entering and exiting in expected pattern. No loitering, no unauthorized entry, no theft pattern detected.</t>
        </is>
      </c>
      <c r="J48" s="26" t="inlineStr"/>
      <c r="K48" s="22" t="inlineStr">
        <is>
          <t>rejected</t>
        </is>
      </c>
      <c r="L48" s="22" t="inlineStr">
        <is>
          <t>operator-1</t>
        </is>
      </c>
      <c r="M48" s="22" t="inlineStr">
        <is>
          <t>Reviewed — benign. Approved for archive.</t>
        </is>
      </c>
      <c r="N48" s="22" t="inlineStr">
        <is>
          <t>2026-09-18 17:31</t>
        </is>
      </c>
      <c r="O48" s="22" t="inlineStr">
        <is>
          <t>No</t>
        </is>
      </c>
      <c r="P48" s="22" t="inlineStr">
        <is>
          <t>No</t>
        </is>
      </c>
      <c r="Q48" s="22" t="inlineStr">
        <is>
          <t>No</t>
        </is>
      </c>
      <c r="R48" s="24" t="inlineStr">
        <is>
          <t>other</t>
        </is>
      </c>
      <c r="S48" s="22" t="inlineStr">
        <is>
          <t>2026-09-17 00:31</t>
        </is>
      </c>
    </row>
    <row r="49" ht="38" customHeight="1">
      <c r="B49" s="17" t="inlineStr">
        <is>
          <t>SKY-VID-0015</t>
        </is>
      </c>
      <c r="C49" s="18" t="inlineStr">
        <is>
          <t>video</t>
        </is>
      </c>
      <c r="D49" s="17" t="inlineStr">
        <is>
          <t>phone-upload</t>
        </is>
      </c>
      <c r="E49" s="17" t="inlineStr">
        <is>
          <t>Highway 7 — Junction 14</t>
        </is>
      </c>
      <c r="F49" s="19" t="inlineStr">
        <is>
          <t>theft</t>
        </is>
      </c>
      <c r="G49" s="18" t="inlineStr">
        <is>
          <t>high</t>
        </is>
      </c>
      <c r="H49" s="20" t="n">
        <v>0.86</v>
      </c>
      <c r="I49" s="21" t="inlineStr">
        <is>
          <t>Snatch-theft pattern detected: motorcyclist approaches pedestrian on roadside, grabs phone from hand, accelerates away. License plate partially visible. Pattern matches KB snatch-theft playbook.</t>
        </is>
      </c>
      <c r="J49" s="21" t="inlineStr"/>
      <c r="K49" s="17" t="inlineStr">
        <is>
          <t>escalated</t>
        </is>
      </c>
      <c r="L49" s="17" t="inlineStr">
        <is>
          <t>operator-2</t>
        </is>
      </c>
      <c r="M49" s="17" t="inlineStr">
        <is>
          <t>Multiple KB cues matched. Approved with note to monitor for repeat pattern.</t>
        </is>
      </c>
      <c r="N49" s="17" t="inlineStr">
        <is>
          <t>2026-09-17 03:00</t>
        </is>
      </c>
      <c r="O49" s="17" t="inlineStr">
        <is>
          <t>Yes</t>
        </is>
      </c>
      <c r="P49" s="17" t="inlineStr">
        <is>
          <t>No</t>
        </is>
      </c>
      <c r="Q49" s="17" t="inlineStr">
        <is>
          <t>Yes</t>
        </is>
      </c>
      <c r="R49" s="19" t="inlineStr">
        <is>
          <t>theft</t>
        </is>
      </c>
      <c r="S49" s="17" t="inlineStr">
        <is>
          <t>2026-09-16 16:00</t>
        </is>
      </c>
    </row>
    <row r="50" ht="38" customHeight="1">
      <c r="B50" s="22" t="inlineStr">
        <is>
          <t>SKY-IMG-0017</t>
        </is>
      </c>
      <c r="C50" s="23" t="inlineStr">
        <is>
          <t>image</t>
        </is>
      </c>
      <c r="D50" s="22" t="inlineStr">
        <is>
          <t>manual-upload</t>
        </is>
      </c>
      <c r="E50" s="22" t="inlineStr">
        <is>
          <t>Retail Store — Aisle 7</t>
        </is>
      </c>
      <c r="F50" s="24" t="inlineStr">
        <is>
          <t>theft</t>
        </is>
      </c>
      <c r="G50" s="23" t="inlineStr">
        <is>
          <t>high</t>
        </is>
      </c>
      <c r="H50" s="25" t="n">
        <v>0.84</v>
      </c>
      <c r="I50" s="26" t="inlineStr">
        <is>
          <t>Subject observed concealing merchandise (apparent electronics) under jacket. Two prior loitering passes of the same aisle noted. Hand-to-pocket motion captured at 14:23:11. Recommend receipt-check at exit.</t>
        </is>
      </c>
      <c r="J50" s="26" t="inlineStr"/>
      <c r="K50" s="22" t="inlineStr">
        <is>
          <t>pending</t>
        </is>
      </c>
      <c r="L50" s="22" t="inlineStr"/>
      <c r="M50" s="22" t="inlineStr"/>
      <c r="N50" s="22" t="inlineStr"/>
      <c r="O50" s="22" t="inlineStr">
        <is>
          <t>Yes</t>
        </is>
      </c>
      <c r="P50" s="22" t="inlineStr">
        <is>
          <t>No</t>
        </is>
      </c>
      <c r="Q50" s="22" t="inlineStr">
        <is>
          <t>Yes</t>
        </is>
      </c>
      <c r="R50" s="24" t="inlineStr">
        <is>
          <t>theft</t>
        </is>
      </c>
      <c r="S50" s="22" t="inlineStr">
        <is>
          <t>2026-09-17 03:27</t>
        </is>
      </c>
    </row>
    <row r="51" ht="38" customHeight="1">
      <c r="B51" s="17" t="inlineStr">
        <is>
          <t>SKY-VID-0016</t>
        </is>
      </c>
      <c r="C51" s="18" t="inlineStr">
        <is>
          <t>video</t>
        </is>
      </c>
      <c r="D51" s="17" t="inlineStr">
        <is>
          <t>body-cam</t>
        </is>
      </c>
      <c r="E51" s="17" t="inlineStr">
        <is>
          <t>Office Reception — Building C</t>
        </is>
      </c>
      <c r="F51" s="19" t="inlineStr">
        <is>
          <t>manipulated-media</t>
        </is>
      </c>
      <c r="G51" s="18" t="inlineStr">
        <is>
          <t>high</t>
        </is>
      </c>
      <c r="H51" s="20" t="n">
        <v>0.76</v>
      </c>
      <c r="I51" s="21" t="inlineStr">
        <is>
          <t>Forensic review of subject video reveals inconsistent blinking pattern, blurred ear edges, and mismatched lip-audio sync in 3 segments. Pattern matches KB deepfake video cues. Recommend source-recording comparison.</t>
        </is>
      </c>
      <c r="J51" s="21" t="inlineStr"/>
      <c r="K51" s="17" t="inlineStr">
        <is>
          <t>escalated</t>
        </is>
      </c>
      <c r="L51" s="17" t="inlineStr">
        <is>
          <t>analyst-patel</t>
        </is>
      </c>
      <c r="M51" s="17" t="inlineStr">
        <is>
          <t>Verified category. Approved. Reviewer on shift at time of incident.</t>
        </is>
      </c>
      <c r="N51" s="17" t="inlineStr">
        <is>
          <t>2026-09-18 04:02</t>
        </is>
      </c>
      <c r="O51" s="17" t="inlineStr">
        <is>
          <t>Yes</t>
        </is>
      </c>
      <c r="P51" s="17" t="inlineStr">
        <is>
          <t>No</t>
        </is>
      </c>
      <c r="Q51" s="17" t="inlineStr">
        <is>
          <t>Yes</t>
        </is>
      </c>
      <c r="R51" s="19" t="inlineStr">
        <is>
          <t>manipulated-media</t>
        </is>
      </c>
      <c r="S51" s="17" t="inlineStr">
        <is>
          <t>2026-09-17 00:02</t>
        </is>
      </c>
    </row>
    <row r="52" ht="38" customHeight="1">
      <c r="B52" s="22" t="inlineStr">
        <is>
          <t>SKY-IMG-0018</t>
        </is>
      </c>
      <c r="C52" s="23" t="inlineStr">
        <is>
          <t>image</t>
        </is>
      </c>
      <c r="D52" s="22" t="inlineStr">
        <is>
          <t>satellite-image</t>
        </is>
      </c>
      <c r="E52" s="22" t="inlineStr">
        <is>
          <t>Metro Station — Platform 2</t>
        </is>
      </c>
      <c r="F52" s="24" t="inlineStr">
        <is>
          <t>violence</t>
        </is>
      </c>
      <c r="G52" s="23" t="inlineStr">
        <is>
          <t>high</t>
        </is>
      </c>
      <c r="H52" s="25" t="n">
        <v>0.73</v>
      </c>
      <c r="I52" s="26" t="inlineStr">
        <is>
          <t>Two individuals in physical altercation at the metro platform. One subject pinned against wall, second subject raising fist. Bystanders present but not intervening. Recommend immediate security response.</t>
        </is>
      </c>
      <c r="J52" s="26" t="inlineStr"/>
      <c r="K52" s="22" t="inlineStr">
        <is>
          <t>pending</t>
        </is>
      </c>
      <c r="L52" s="22" t="inlineStr"/>
      <c r="M52" s="22" t="inlineStr"/>
      <c r="N52" s="22" t="inlineStr"/>
      <c r="O52" s="22" t="inlineStr">
        <is>
          <t>Yes</t>
        </is>
      </c>
      <c r="P52" s="22" t="inlineStr">
        <is>
          <t>No</t>
        </is>
      </c>
      <c r="Q52" s="22" t="inlineStr">
        <is>
          <t>Yes</t>
        </is>
      </c>
      <c r="R52" s="24" t="inlineStr">
        <is>
          <t>violence</t>
        </is>
      </c>
      <c r="S52" s="22" t="inlineStr">
        <is>
          <t>2026-09-16 21:57</t>
        </is>
      </c>
    </row>
    <row r="53" ht="38" customHeight="1">
      <c r="B53" s="17" t="inlineStr">
        <is>
          <t>SKY-VID-0017</t>
        </is>
      </c>
      <c r="C53" s="18" t="inlineStr">
        <is>
          <t>video</t>
        </is>
      </c>
      <c r="D53" s="17" t="inlineStr">
        <is>
          <t>body-cam</t>
        </is>
      </c>
      <c r="E53" s="17" t="inlineStr">
        <is>
          <t>Restaurant — Dining Hall</t>
        </is>
      </c>
      <c r="F53" s="19" t="inlineStr">
        <is>
          <t>accident</t>
        </is>
      </c>
      <c r="G53" s="18" t="inlineStr">
        <is>
          <t>moderate</t>
        </is>
      </c>
      <c r="H53" s="20" t="n">
        <v>0.71</v>
      </c>
      <c r="I53" s="21" t="inlineStr">
        <is>
          <t>Single-vehicle accident: car mounted curb at restaurant parking. Driver exits, appears unharmed. Possible medical event or intoxication. No other vehicles involved. Recommend medical check.</t>
        </is>
      </c>
      <c r="J53" s="21" t="inlineStr"/>
      <c r="K53" s="17" t="inlineStr">
        <is>
          <t>pending</t>
        </is>
      </c>
      <c r="L53" s="17" t="inlineStr"/>
      <c r="M53" s="17" t="inlineStr"/>
      <c r="N53" s="17" t="inlineStr"/>
      <c r="O53" s="17" t="inlineStr">
        <is>
          <t>No</t>
        </is>
      </c>
      <c r="P53" s="17" t="inlineStr">
        <is>
          <t>No</t>
        </is>
      </c>
      <c r="Q53" s="17" t="inlineStr">
        <is>
          <t>No</t>
        </is>
      </c>
      <c r="R53" s="19" t="inlineStr">
        <is>
          <t>accident</t>
        </is>
      </c>
      <c r="S53" s="17" t="inlineStr">
        <is>
          <t>2026-09-17 02:15</t>
        </is>
      </c>
    </row>
    <row r="54" ht="38" customHeight="1">
      <c r="B54" s="22" t="inlineStr">
        <is>
          <t>SKY-IMG-0019</t>
        </is>
      </c>
      <c r="C54" s="23" t="inlineStr">
        <is>
          <t>image</t>
        </is>
      </c>
      <c r="D54" s="22" t="inlineStr">
        <is>
          <t>manual-upload</t>
        </is>
      </c>
      <c r="E54" s="22" t="inlineStr">
        <is>
          <t>Hospital ER — Triage Cam</t>
        </is>
      </c>
      <c r="F54" s="24" t="inlineStr">
        <is>
          <t>violence</t>
        </is>
      </c>
      <c r="G54" s="23" t="inlineStr">
        <is>
          <t>moderate</t>
        </is>
      </c>
      <c r="H54" s="25" t="n">
        <v>0.63</v>
      </c>
      <c r="I54" s="26" t="inlineStr">
        <is>
          <t>Verbal altercation between two subjects at hospital ER triage. No physical contact yet. Loud exchange, finger-pointing. Security presence recommended to prevent escalation. Triage nurse aware.</t>
        </is>
      </c>
      <c r="J54" s="26" t="inlineStr"/>
      <c r="K54" s="22" t="inlineStr">
        <is>
          <t>approved</t>
        </is>
      </c>
      <c r="L54" s="22" t="inlineStr">
        <is>
          <t>analyst-patel</t>
        </is>
      </c>
      <c r="M54" s="22" t="inlineStr">
        <is>
          <t>Approved for logging. No immediate action.</t>
        </is>
      </c>
      <c r="N54" s="22" t="inlineStr">
        <is>
          <t>2026-09-18 22:55</t>
        </is>
      </c>
      <c r="O54" s="22" t="inlineStr">
        <is>
          <t>No</t>
        </is>
      </c>
      <c r="P54" s="22" t="inlineStr">
        <is>
          <t>No</t>
        </is>
      </c>
      <c r="Q54" s="22" t="inlineStr">
        <is>
          <t>No</t>
        </is>
      </c>
      <c r="R54" s="24" t="inlineStr">
        <is>
          <t>violence</t>
        </is>
      </c>
      <c r="S54" s="22" t="inlineStr">
        <is>
          <t>2026-09-18 06:55</t>
        </is>
      </c>
    </row>
  </sheetData>
  <autoFilter ref="B4:S54"/>
  <mergeCells count="1">
    <mergeCell ref="B2:S2"/>
  </mergeCells>
  <conditionalFormatting sqref="G5:G54">
    <cfRule type="cellIs" priority="1" operator="equal" dxfId="0" stopIfTrue="0">
      <formula>"critical"</formula>
    </cfRule>
    <cfRule type="cellIs" priority="2" operator="equal" dxfId="1" stopIfTrue="0">
      <formula>"high"</formula>
    </cfRule>
    <cfRule type="cellIs" priority="3" operator="equal" dxfId="2" stopIfTrue="0">
      <formula>"moderate"</formula>
    </cfRule>
    <cfRule type="cellIs" priority="4" operator="equal" dxfId="3" stopIfTrue="0">
      <formula>"low"</formula>
    </cfRule>
  </conditionalFormatting>
  <conditionalFormatting sqref="K5:K54">
    <cfRule type="cellIs" priority="5" operator="equal" dxfId="4">
      <formula>"pending"</formula>
    </cfRule>
    <cfRule type="cellIs" priority="6" operator="equal" dxfId="5">
      <formula>"approved"</formula>
    </cfRule>
    <cfRule type="cellIs" priority="7" operator="equal" dxfId="6">
      <formula>"rejected"</formula>
    </cfRule>
    <cfRule type="cellIs" priority="8" operator="equal" dxfId="7">
      <formula>"escalated"</formula>
    </cfRule>
  </conditionalFormatting>
  <conditionalFormatting sqref="H5:H54">
    <cfRule type="dataBar" priority="9">
      <dataBar showValue="1">
        <cfvo type="num" val="0"/>
        <cfvo type="num" val="1"/>
        <color rgb="001B2A4A"/>
      </dataBar>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B2:F1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40" customWidth="1" min="3" max="3"/>
    <col width="60" customWidth="1" min="4" max="4"/>
    <col width="12" customWidth="1" min="5" max="5"/>
    <col width="14" customWidth="1" min="6" max="6"/>
  </cols>
  <sheetData>
    <row r="1" ht="15" customHeight="1"/>
    <row r="2" ht="32" customHeight="1">
      <c r="B2" s="1" t="inlineStr">
        <is>
          <t>SKY RAG Evidence — 106 Linked Records</t>
        </is>
      </c>
    </row>
    <row r="3" ht="8" customHeight="1"/>
    <row r="4" ht="28" customHeight="1">
      <c r="B4" s="16" t="inlineStr">
        <is>
          <t>Case ID</t>
        </is>
      </c>
      <c r="C4" s="16" t="inlineStr">
        <is>
          <t>Source Title</t>
        </is>
      </c>
      <c r="D4" s="16" t="inlineStr">
        <is>
          <t>Snippet</t>
        </is>
      </c>
      <c r="E4" s="16" t="inlineStr">
        <is>
          <t>Relevance</t>
        </is>
      </c>
      <c r="F4" s="16" t="inlineStr">
        <is>
          <t>Source Type</t>
        </is>
      </c>
    </row>
    <row r="5" ht="32" customHeight="1">
      <c r="B5" s="17" t="inlineStr">
        <is>
          <t>SKY-VID-0001</t>
        </is>
      </c>
      <c r="C5" s="17" t="inlineStr">
        <is>
          <t>Road Traffic Accident Indicators</t>
        </is>
      </c>
      <c r="D5" s="21" t="inlineStr">
        <is>
          <t>Two or more vehicles in unusual orientation on a roadway, with debris, airbag deployment, or individuals lying on the ground, constitutes a road traffic accident.</t>
        </is>
      </c>
      <c r="E5" s="27" t="n">
        <v>1</v>
      </c>
      <c r="F5" s="17" t="inlineStr">
        <is>
          <t>trusted</t>
        </is>
      </c>
    </row>
    <row r="6" ht="32" customHeight="1">
      <c r="B6" s="22" t="inlineStr">
        <is>
          <t>SKY-VID-0001</t>
        </is>
      </c>
      <c r="C6" s="22" t="inlineStr">
        <is>
          <t>Regulatory Note — AI Decision Support is Advisory Only</t>
        </is>
      </c>
      <c r="D6" s="26" t="inlineStr">
        <is>
          <t>SKY is an AI-assisted decision-support platform. AI evidence may be used as investigative leads, not as court-admissible proof.</t>
        </is>
      </c>
      <c r="E6" s="28" t="n">
        <v>0.75</v>
      </c>
      <c r="F6" s="22" t="inlineStr">
        <is>
          <t>trusted</t>
        </is>
      </c>
    </row>
    <row r="7" ht="32" customHeight="1">
      <c r="B7" s="17" t="inlineStr">
        <is>
          <t>SKY-IMG-0001</t>
        </is>
      </c>
      <c r="C7" s="17" t="inlineStr">
        <is>
          <t>Active Violence — Visible Weapon Indicators</t>
        </is>
      </c>
      <c r="D7" s="21" t="inlineStr">
        <is>
          <t>Critical-risk indicators in CCTV footage: visible edged weapon or firearm, raised weapon with intent to strike, multiple individuals engaged in coordinated aggression.</t>
        </is>
      </c>
      <c r="E7" s="27" t="n">
        <v>1</v>
      </c>
      <c r="F7" s="17" t="inlineStr">
        <is>
          <t>trusted</t>
        </is>
      </c>
    </row>
    <row r="8" ht="32" customHeight="1">
      <c r="B8" s="22" t="inlineStr">
        <is>
          <t>SKY-IMG-0001</t>
        </is>
      </c>
      <c r="C8" s="22" t="inlineStr">
        <is>
          <t>Brawl / Public Affray Classification</t>
        </is>
      </c>
      <c r="D8" s="26" t="inlineStr">
        <is>
          <t>Two or more individuals engaged in physical contact with raised fists, kicking, or grappling constitutes public affray. Distinguish from contact sports.</t>
        </is>
      </c>
      <c r="E8" s="28" t="n">
        <v>0.75</v>
      </c>
      <c r="F8" s="22" t="inlineStr">
        <is>
          <t>trusted</t>
        </is>
      </c>
    </row>
    <row r="9" ht="32" customHeight="1">
      <c r="B9" s="17" t="inlineStr">
        <is>
          <t>SKY-IMG-0001</t>
        </is>
      </c>
      <c r="C9" s="17" t="inlineStr">
        <is>
          <t>Regulatory Note — AI Decision Support is Advisory Only</t>
        </is>
      </c>
      <c r="D9" s="21" t="inlineStr">
        <is>
          <t>SKY is an AI-assisted decision-support platform. AI evidence may be used as investigative leads, not as court-admissible proof.</t>
        </is>
      </c>
      <c r="E9" s="27" t="n">
        <v>0.5</v>
      </c>
      <c r="F9" s="17" t="inlineStr">
        <is>
          <t>trusted</t>
        </is>
      </c>
    </row>
    <row r="10" ht="32" customHeight="1">
      <c r="B10" s="22" t="inlineStr">
        <is>
          <t>SKY-VID-0002</t>
        </is>
      </c>
      <c r="C10" s="22" t="inlineStr">
        <is>
          <t>Perimeter Breach After-Hours</t>
        </is>
      </c>
      <c r="D10" s="26" t="inlineStr">
        <is>
          <t>An individual entering a fenced or access-controlled perimeter outside operating hours, especially without visible credentials, is treated as unauthorized entry.</t>
        </is>
      </c>
      <c r="E10" s="28" t="n">
        <v>1</v>
      </c>
      <c r="F10" s="22" t="inlineStr">
        <is>
          <t>trusted</t>
        </is>
      </c>
    </row>
    <row r="11" ht="32" customHeight="1">
      <c r="B11" s="17" t="inlineStr">
        <is>
          <t>SKY-VID-0002</t>
        </is>
      </c>
      <c r="C11" s="17" t="inlineStr">
        <is>
          <t>Regulatory Note — AI Decision Support is Advisory Only</t>
        </is>
      </c>
      <c r="D11" s="21" t="inlineStr">
        <is>
          <t>SKY is an AI-assisted decision-support platform. AI evidence may be used as investigative leads, not as court-admissible proof.</t>
        </is>
      </c>
      <c r="E11" s="27" t="n">
        <v>0.75</v>
      </c>
      <c r="F11" s="17" t="inlineStr">
        <is>
          <t>trusted</t>
        </is>
      </c>
    </row>
    <row r="12" ht="32" customHeight="1">
      <c r="B12" s="22" t="inlineStr">
        <is>
          <t>SKY-IMG-0002</t>
        </is>
      </c>
      <c r="C12" s="22" t="inlineStr">
        <is>
          <t>UPI / Wire Transfer Urgency Fraud Pattern</t>
        </is>
      </c>
      <c r="D12" s="26" t="inlineStr">
        <is>
          <t>Callers demanding immediate UPI transfer or OTP verification often impersonate bank officials. Genuine banking institutions never ask for OTPs over a phone call.</t>
        </is>
      </c>
      <c r="E12" s="28" t="n">
        <v>1</v>
      </c>
      <c r="F12" s="22" t="inlineStr">
        <is>
          <t>trusted</t>
        </is>
      </c>
    </row>
    <row r="13" ht="32" customHeight="1">
      <c r="B13" s="17" t="inlineStr">
        <is>
          <t>SKY-IMG-0002</t>
        </is>
      </c>
      <c r="C13" s="17" t="inlineStr">
        <is>
          <t>Payment Fraud — Card-Not-Present Indicators</t>
        </is>
      </c>
      <c r="D13" s="21" t="inlineStr">
        <is>
          <t>Visual indicators of card-skimming devices include misaligned card slots, hidden pinhole cameras above the keypad, and unusually bulky overlays.</t>
        </is>
      </c>
      <c r="E13" s="27" t="n">
        <v>0.75</v>
      </c>
      <c r="F13" s="17" t="inlineStr">
        <is>
          <t>trusted</t>
        </is>
      </c>
    </row>
    <row r="14" ht="32" customHeight="1">
      <c r="B14" s="22" t="inlineStr">
        <is>
          <t>SKY-IMG-0002</t>
        </is>
      </c>
      <c r="C14" s="22" t="inlineStr">
        <is>
          <t>Regulatory Note — AI Decision Support is Advisory Only</t>
        </is>
      </c>
      <c r="D14" s="26" t="inlineStr">
        <is>
          <t>SKY is an AI-assisted decision-support platform. AI evidence may be used as investigative leads, not as court-admissible proof.</t>
        </is>
      </c>
      <c r="E14" s="28" t="n">
        <v>0.5</v>
      </c>
      <c r="F14" s="22" t="inlineStr">
        <is>
          <t>trusted</t>
        </is>
      </c>
    </row>
    <row r="15" ht="32" customHeight="1">
      <c r="B15" s="17" t="inlineStr">
        <is>
          <t>SKY-IMG-0003</t>
        </is>
      </c>
      <c r="C15" s="17" t="inlineStr">
        <is>
          <t>Snatch Theft / Grab-and-Run Indicators</t>
        </is>
      </c>
      <c r="D15" s="21" t="inlineStr">
        <is>
          <t>Snatch-theft events are characterized by a single rapid approach (often on a two-wheeler), a grabbing motion aimed at a phone/bag/chain, and immediate acceleration away.</t>
        </is>
      </c>
      <c r="E15" s="27" t="n">
        <v>1</v>
      </c>
      <c r="F15" s="17" t="inlineStr">
        <is>
          <t>trusted</t>
        </is>
      </c>
    </row>
    <row r="16" ht="32" customHeight="1">
      <c r="B16" s="22" t="inlineStr">
        <is>
          <t>SKY-IMG-0003</t>
        </is>
      </c>
      <c r="C16" s="22" t="inlineStr">
        <is>
          <t>Shoplifting Behavioral Indicators</t>
        </is>
      </c>
      <c r="D16" s="26" t="inlineStr">
        <is>
          <t>Common shoplifting indicators include prolonged loitering near high-value items, repeated looking at staff or cameras, and hand-to-pocket motions near merchandise.</t>
        </is>
      </c>
      <c r="E16" s="28" t="n">
        <v>0.75</v>
      </c>
      <c r="F16" s="22" t="inlineStr">
        <is>
          <t>trusted</t>
        </is>
      </c>
    </row>
    <row r="17" ht="32" customHeight="1">
      <c r="B17" s="17" t="inlineStr">
        <is>
          <t>SKY-IMG-0003</t>
        </is>
      </c>
      <c r="C17" s="17" t="inlineStr">
        <is>
          <t>Regulatory Note — AI Decision Support is Advisory Only</t>
        </is>
      </c>
      <c r="D17" s="21" t="inlineStr">
        <is>
          <t>SKY is an AI-assisted decision-support platform. AI evidence may be used as investigative leads, not as court-admissible proof.</t>
        </is>
      </c>
      <c r="E17" s="27" t="n">
        <v>0.5</v>
      </c>
      <c r="F17" s="17" t="inlineStr">
        <is>
          <t>trusted</t>
        </is>
      </c>
    </row>
    <row r="18" ht="32" customHeight="1">
      <c r="B18" s="22" t="inlineStr">
        <is>
          <t>SKY-VID-0003</t>
        </is>
      </c>
      <c r="C18" s="22" t="inlineStr">
        <is>
          <t>Snatch Theft / Grab-and-Run Indicators</t>
        </is>
      </c>
      <c r="D18" s="26" t="inlineStr">
        <is>
          <t>Snatch-theft events are characterized by a single rapid approach (often on a two-wheeler), a grabbing motion aimed at a phone/bag/chain, and immediate acceleration away.</t>
        </is>
      </c>
      <c r="E18" s="28" t="n">
        <v>1</v>
      </c>
      <c r="F18" s="22" t="inlineStr">
        <is>
          <t>trusted</t>
        </is>
      </c>
    </row>
    <row r="19" ht="32" customHeight="1">
      <c r="B19" s="17" t="inlineStr">
        <is>
          <t>SKY-VID-0003</t>
        </is>
      </c>
      <c r="C19" s="17" t="inlineStr">
        <is>
          <t>Shoplifting Behavioral Indicators</t>
        </is>
      </c>
      <c r="D19" s="21" t="inlineStr">
        <is>
          <t>Common shoplifting indicators include prolonged loitering near high-value items, repeated looking at staff or cameras, and hand-to-pocket motions near merchandise.</t>
        </is>
      </c>
      <c r="E19" s="27" t="n">
        <v>0.75</v>
      </c>
      <c r="F19" s="17" t="inlineStr">
        <is>
          <t>trusted</t>
        </is>
      </c>
    </row>
    <row r="20" ht="32" customHeight="1">
      <c r="B20" s="22" t="inlineStr">
        <is>
          <t>SKY-VID-0003</t>
        </is>
      </c>
      <c r="C20" s="22" t="inlineStr">
        <is>
          <t>Regulatory Note — AI Decision Support is Advisory Only</t>
        </is>
      </c>
      <c r="D20" s="26" t="inlineStr">
        <is>
          <t>SKY is an AI-assisted decision-support platform. AI evidence may be used as investigative leads, not as court-admissible proof.</t>
        </is>
      </c>
      <c r="E20" s="28" t="n">
        <v>0.5</v>
      </c>
      <c r="F20" s="22" t="inlineStr">
        <is>
          <t>trusted</t>
        </is>
      </c>
    </row>
    <row r="21" ht="32" customHeight="1">
      <c r="B21" s="17" t="inlineStr">
        <is>
          <t>SKY-VID-0004</t>
        </is>
      </c>
      <c r="C21" s="17" t="inlineStr">
        <is>
          <t>Perimeter Breach After-Hours</t>
        </is>
      </c>
      <c r="D21" s="21" t="inlineStr">
        <is>
          <t>An individual entering a fenced or access-controlled perimeter outside operating hours, especially without visible credentials, is treated as unauthorized entry.</t>
        </is>
      </c>
      <c r="E21" s="27" t="n">
        <v>1</v>
      </c>
      <c r="F21" s="17" t="inlineStr">
        <is>
          <t>trusted</t>
        </is>
      </c>
    </row>
    <row r="22" ht="32" customHeight="1">
      <c r="B22" s="22" t="inlineStr">
        <is>
          <t>SKY-VID-0004</t>
        </is>
      </c>
      <c r="C22" s="22" t="inlineStr">
        <is>
          <t>Regulatory Note — AI Decision Support is Advisory Only</t>
        </is>
      </c>
      <c r="D22" s="26" t="inlineStr">
        <is>
          <t>SKY is an AI-assisted decision-support platform. AI evidence may be used as investigative leads, not as court-admissible proof.</t>
        </is>
      </c>
      <c r="E22" s="28" t="n">
        <v>0.75</v>
      </c>
      <c r="F22" s="22" t="inlineStr">
        <is>
          <t>trusted</t>
        </is>
      </c>
    </row>
    <row r="23" ht="32" customHeight="1">
      <c r="B23" s="17" t="inlineStr">
        <is>
          <t>SKY-VID-0005</t>
        </is>
      </c>
      <c r="C23" s="17" t="inlineStr">
        <is>
          <t>Perimeter Breach After-Hours</t>
        </is>
      </c>
      <c r="D23" s="21" t="inlineStr">
        <is>
          <t>An individual entering a fenced or access-controlled perimeter outside operating hours, especially without visible credentials, is treated as unauthorized entry.</t>
        </is>
      </c>
      <c r="E23" s="27" t="n">
        <v>1</v>
      </c>
      <c r="F23" s="17" t="inlineStr">
        <is>
          <t>trusted</t>
        </is>
      </c>
    </row>
    <row r="24" ht="32" customHeight="1">
      <c r="B24" s="22" t="inlineStr">
        <is>
          <t>SKY-VID-0005</t>
        </is>
      </c>
      <c r="C24" s="22" t="inlineStr">
        <is>
          <t>Regulatory Note — AI Decision Support is Advisory Only</t>
        </is>
      </c>
      <c r="D24" s="26" t="inlineStr">
        <is>
          <t>SKY is an AI-assisted decision-support platform. AI evidence may be used as investigative leads, not as court-admissible proof.</t>
        </is>
      </c>
      <c r="E24" s="28" t="n">
        <v>0.75</v>
      </c>
      <c r="F24" s="22" t="inlineStr">
        <is>
          <t>trusted</t>
        </is>
      </c>
    </row>
    <row r="25" ht="32" customHeight="1">
      <c r="B25" s="17" t="inlineStr">
        <is>
          <t>SKY-AUD-0001</t>
        </is>
      </c>
      <c r="C25" s="17" t="inlineStr">
        <is>
          <t>Regulatory Note — AI Decision Support is Advisory Only</t>
        </is>
      </c>
      <c r="D25" s="21" t="inlineStr">
        <is>
          <t>SKY is an AI-assisted decision-support platform. AI evidence may be used as investigative leads, not as court-admissible proof.</t>
        </is>
      </c>
      <c r="E25" s="27" t="n">
        <v>1</v>
      </c>
      <c r="F25" s="17" t="inlineStr">
        <is>
          <t>trusted</t>
        </is>
      </c>
    </row>
    <row r="26" ht="32" customHeight="1">
      <c r="B26" s="22" t="inlineStr">
        <is>
          <t>SKY-AUD-0002</t>
        </is>
      </c>
      <c r="C26" s="22" t="inlineStr">
        <is>
          <t>UPI / Wire Transfer Urgency Fraud Pattern</t>
        </is>
      </c>
      <c r="D26" s="26" t="inlineStr">
        <is>
          <t>Callers demanding immediate UPI transfer or OTP verification often impersonate bank officials. Genuine banking institutions never ask for OTPs over a phone call.</t>
        </is>
      </c>
      <c r="E26" s="28" t="n">
        <v>1</v>
      </c>
      <c r="F26" s="22" t="inlineStr">
        <is>
          <t>trusted</t>
        </is>
      </c>
    </row>
    <row r="27" ht="32" customHeight="1">
      <c r="B27" s="17" t="inlineStr">
        <is>
          <t>SKY-AUD-0002</t>
        </is>
      </c>
      <c r="C27" s="17" t="inlineStr">
        <is>
          <t>Payment Fraud — Card-Not-Present Indicators</t>
        </is>
      </c>
      <c r="D27" s="21" t="inlineStr">
        <is>
          <t>Visual indicators of card-skimming devices include misaligned card slots, hidden pinhole cameras above the keypad, and unusually bulky overlays.</t>
        </is>
      </c>
      <c r="E27" s="27" t="n">
        <v>0.75</v>
      </c>
      <c r="F27" s="17" t="inlineStr">
        <is>
          <t>trusted</t>
        </is>
      </c>
    </row>
    <row r="28" ht="32" customHeight="1">
      <c r="B28" s="22" t="inlineStr">
        <is>
          <t>SKY-AUD-0002</t>
        </is>
      </c>
      <c r="C28" s="22" t="inlineStr">
        <is>
          <t>Regulatory Note — AI Decision Support is Advisory Only</t>
        </is>
      </c>
      <c r="D28" s="26" t="inlineStr">
        <is>
          <t>SKY is an AI-assisted decision-support platform. AI evidence may be used as investigative leads, not as court-admissible proof.</t>
        </is>
      </c>
      <c r="E28" s="28" t="n">
        <v>0.5</v>
      </c>
      <c r="F28" s="22" t="inlineStr">
        <is>
          <t>trusted</t>
        </is>
      </c>
    </row>
    <row r="29" ht="32" customHeight="1">
      <c r="B29" s="17" t="inlineStr">
        <is>
          <t>SKY-AUD-0003</t>
        </is>
      </c>
      <c r="C29" s="17" t="inlineStr">
        <is>
          <t>Fake Refund / Refund-for-Payment Scam</t>
        </is>
      </c>
      <c r="D29" s="21" t="inlineStr">
        <is>
          <t>Caller impersonates an e-commerce support agent offering a refund, then requests screen-sharing apps or SMS-forward codes to 'process' the refund.</t>
        </is>
      </c>
      <c r="E29" s="27" t="n">
        <v>1</v>
      </c>
      <c r="F29" s="17" t="inlineStr">
        <is>
          <t>trusted</t>
        </is>
      </c>
    </row>
    <row r="30" ht="32" customHeight="1">
      <c r="B30" s="22" t="inlineStr">
        <is>
          <t>SKY-AUD-0003</t>
        </is>
      </c>
      <c r="C30" s="22" t="inlineStr">
        <is>
          <t>Lottery / Prize Scam Pattern</t>
        </is>
      </c>
      <c r="D30" s="26" t="inlineStr">
        <is>
          <t>Caller claims the recipient won a prize, then demands an upfront 'processing fee' or 'tax' before releasing non-existent winnings.</t>
        </is>
      </c>
      <c r="E30" s="28" t="n">
        <v>0.75</v>
      </c>
      <c r="F30" s="22" t="inlineStr">
        <is>
          <t>trusted</t>
        </is>
      </c>
    </row>
    <row r="31" ht="32" customHeight="1">
      <c r="B31" s="17" t="inlineStr">
        <is>
          <t>SKY-AUD-0003</t>
        </is>
      </c>
      <c r="C31" s="17" t="inlineStr">
        <is>
          <t>Regulatory Note — AI Decision Support is Advisory Only</t>
        </is>
      </c>
      <c r="D31" s="21" t="inlineStr">
        <is>
          <t>SKY is an AI-assisted decision-support platform. AI evidence may be used as investigative leads, not as court-admissible proof.</t>
        </is>
      </c>
      <c r="E31" s="27" t="n">
        <v>0.5</v>
      </c>
      <c r="F31" s="17" t="inlineStr">
        <is>
          <t>trusted</t>
        </is>
      </c>
    </row>
    <row r="32" ht="32" customHeight="1">
      <c r="B32" s="22" t="inlineStr">
        <is>
          <t>SKY-IMG-0004</t>
        </is>
      </c>
      <c r="C32" s="22" t="inlineStr">
        <is>
          <t>Regulatory Note — AI Decision Support is Advisory Only</t>
        </is>
      </c>
      <c r="D32" s="26" t="inlineStr">
        <is>
          <t>SKY is an AI-assisted decision-support platform. AI evidence may be used as investigative leads, not as court-admissible proof.</t>
        </is>
      </c>
      <c r="E32" s="28" t="n">
        <v>1</v>
      </c>
      <c r="F32" s="22" t="inlineStr">
        <is>
          <t>trusted</t>
        </is>
      </c>
    </row>
    <row r="33" ht="32" customHeight="1">
      <c r="B33" s="17" t="inlineStr">
        <is>
          <t>SKY-AUD-0004</t>
        </is>
      </c>
      <c r="C33" s="17" t="inlineStr">
        <is>
          <t>Regulatory Note — AI Decision Support is Advisory Only</t>
        </is>
      </c>
      <c r="D33" s="21" t="inlineStr">
        <is>
          <t>SKY is an AI-assisted decision-support platform. AI evidence may be used as investigative leads, not as court-admissible proof.</t>
        </is>
      </c>
      <c r="E33" s="27" t="n">
        <v>1</v>
      </c>
      <c r="F33" s="17" t="inlineStr">
        <is>
          <t>trusted</t>
        </is>
      </c>
    </row>
    <row r="34" ht="32" customHeight="1">
      <c r="B34" s="22" t="inlineStr">
        <is>
          <t>SKY-IMG-0005</t>
        </is>
      </c>
      <c r="C34" s="22" t="inlineStr">
        <is>
          <t>Regulatory Note — AI Decision Support is Advisory Only</t>
        </is>
      </c>
      <c r="D34" s="26" t="inlineStr">
        <is>
          <t>SKY is an AI-assisted decision-support platform. AI evidence may be used as investigative leads, not as court-admissible proof.</t>
        </is>
      </c>
      <c r="E34" s="28" t="n">
        <v>1</v>
      </c>
      <c r="F34" s="22" t="inlineStr">
        <is>
          <t>trusted</t>
        </is>
      </c>
    </row>
    <row r="35" ht="32" customHeight="1">
      <c r="B35" s="17" t="inlineStr">
        <is>
          <t>SKY-AUD-0005</t>
        </is>
      </c>
      <c r="C35" s="17" t="inlineStr">
        <is>
          <t>Fake Refund / Refund-for-Payment Scam</t>
        </is>
      </c>
      <c r="D35" s="21" t="inlineStr">
        <is>
          <t>Caller impersonates an e-commerce support agent offering a refund, then requests screen-sharing apps or SMS-forward codes to 'process' the refund.</t>
        </is>
      </c>
      <c r="E35" s="27" t="n">
        <v>1</v>
      </c>
      <c r="F35" s="17" t="inlineStr">
        <is>
          <t>trusted</t>
        </is>
      </c>
    </row>
    <row r="36" ht="32" customHeight="1">
      <c r="B36" s="22" t="inlineStr">
        <is>
          <t>SKY-AUD-0005</t>
        </is>
      </c>
      <c r="C36" s="22" t="inlineStr">
        <is>
          <t>Lottery / Prize Scam Pattern</t>
        </is>
      </c>
      <c r="D36" s="26" t="inlineStr">
        <is>
          <t>Caller claims the recipient won a prize, then demands an upfront 'processing fee' or 'tax' before releasing non-existent winnings.</t>
        </is>
      </c>
      <c r="E36" s="28" t="n">
        <v>0.75</v>
      </c>
      <c r="F36" s="22" t="inlineStr">
        <is>
          <t>trusted</t>
        </is>
      </c>
    </row>
    <row r="37" ht="32" customHeight="1">
      <c r="B37" s="17" t="inlineStr">
        <is>
          <t>SKY-AUD-0005</t>
        </is>
      </c>
      <c r="C37" s="17" t="inlineStr">
        <is>
          <t>Regulatory Note — AI Decision Support is Advisory Only</t>
        </is>
      </c>
      <c r="D37" s="21" t="inlineStr">
        <is>
          <t>SKY is an AI-assisted decision-support platform. AI evidence may be used as investigative leads, not as court-admissible proof.</t>
        </is>
      </c>
      <c r="E37" s="27" t="n">
        <v>0.5</v>
      </c>
      <c r="F37" s="17" t="inlineStr">
        <is>
          <t>trusted</t>
        </is>
      </c>
    </row>
    <row r="38" ht="32" customHeight="1">
      <c r="B38" s="22" t="inlineStr">
        <is>
          <t>SKY-VID-0006</t>
        </is>
      </c>
      <c r="C38" s="22" t="inlineStr">
        <is>
          <t>Regulatory Note — AI Decision Support is Advisory Only</t>
        </is>
      </c>
      <c r="D38" s="26" t="inlineStr">
        <is>
          <t>SKY is an AI-assisted decision-support platform. AI evidence may be used as investigative leads, not as court-admissible proof.</t>
        </is>
      </c>
      <c r="E38" s="28" t="n">
        <v>1</v>
      </c>
      <c r="F38" s="22" t="inlineStr">
        <is>
          <t>trusted</t>
        </is>
      </c>
    </row>
    <row r="39" ht="32" customHeight="1">
      <c r="B39" s="17" t="inlineStr">
        <is>
          <t>SKY-AUD-0006</t>
        </is>
      </c>
      <c r="C39" s="17" t="inlineStr">
        <is>
          <t>UPI / Wire Transfer Urgency Fraud Pattern</t>
        </is>
      </c>
      <c r="D39" s="21" t="inlineStr">
        <is>
          <t>Callers demanding immediate UPI transfer or OTP verification often impersonate bank officials. Genuine banking institutions never ask for OTPs over a phone call.</t>
        </is>
      </c>
      <c r="E39" s="27" t="n">
        <v>1</v>
      </c>
      <c r="F39" s="17" t="inlineStr">
        <is>
          <t>trusted</t>
        </is>
      </c>
    </row>
    <row r="40" ht="32" customHeight="1">
      <c r="B40" s="22" t="inlineStr">
        <is>
          <t>SKY-AUD-0006</t>
        </is>
      </c>
      <c r="C40" s="22" t="inlineStr">
        <is>
          <t>Payment Fraud — Card-Not-Present Indicators</t>
        </is>
      </c>
      <c r="D40" s="26" t="inlineStr">
        <is>
          <t>Visual indicators of card-skimming devices include misaligned card slots, hidden pinhole cameras above the keypad, and unusually bulky overlays.</t>
        </is>
      </c>
      <c r="E40" s="28" t="n">
        <v>0.75</v>
      </c>
      <c r="F40" s="22" t="inlineStr">
        <is>
          <t>trusted</t>
        </is>
      </c>
    </row>
    <row r="41" ht="32" customHeight="1">
      <c r="B41" s="17" t="inlineStr">
        <is>
          <t>SKY-AUD-0006</t>
        </is>
      </c>
      <c r="C41" s="17" t="inlineStr">
        <is>
          <t>Regulatory Note — AI Decision Support is Advisory Only</t>
        </is>
      </c>
      <c r="D41" s="21" t="inlineStr">
        <is>
          <t>SKY is an AI-assisted decision-support platform. AI evidence may be used as investigative leads, not as court-admissible proof.</t>
        </is>
      </c>
      <c r="E41" s="27" t="n">
        <v>0.5</v>
      </c>
      <c r="F41" s="17" t="inlineStr">
        <is>
          <t>trusted</t>
        </is>
      </c>
    </row>
    <row r="42" ht="32" customHeight="1">
      <c r="B42" s="22" t="inlineStr">
        <is>
          <t>SKY-IMG-0006</t>
        </is>
      </c>
      <c r="C42" s="22" t="inlineStr">
        <is>
          <t>Perimeter Breach After-Hours</t>
        </is>
      </c>
      <c r="D42" s="26" t="inlineStr">
        <is>
          <t>An individual entering a fenced or access-controlled perimeter outside operating hours, especially without visible credentials, is treated as unauthorized entry.</t>
        </is>
      </c>
      <c r="E42" s="28" t="n">
        <v>1</v>
      </c>
      <c r="F42" s="22" t="inlineStr">
        <is>
          <t>trusted</t>
        </is>
      </c>
    </row>
    <row r="43" ht="32" customHeight="1">
      <c r="B43" s="17" t="inlineStr">
        <is>
          <t>SKY-IMG-0006</t>
        </is>
      </c>
      <c r="C43" s="17" t="inlineStr">
        <is>
          <t>Regulatory Note — AI Decision Support is Advisory Only</t>
        </is>
      </c>
      <c r="D43" s="21" t="inlineStr">
        <is>
          <t>SKY is an AI-assisted decision-support platform. AI evidence may be used as investigative leads, not as court-admissible proof.</t>
        </is>
      </c>
      <c r="E43" s="27" t="n">
        <v>0.75</v>
      </c>
      <c r="F43" s="17" t="inlineStr">
        <is>
          <t>trusted</t>
        </is>
      </c>
    </row>
    <row r="44" ht="32" customHeight="1">
      <c r="B44" s="22" t="inlineStr">
        <is>
          <t>SKY-VID-0007</t>
        </is>
      </c>
      <c r="C44" s="22" t="inlineStr">
        <is>
          <t>Regulatory Note — AI Decision Support is Advisory Only</t>
        </is>
      </c>
      <c r="D44" s="26" t="inlineStr">
        <is>
          <t>SKY is an AI-assisted decision-support platform. AI evidence may be used as investigative leads, not as court-admissible proof.</t>
        </is>
      </c>
      <c r="E44" s="28" t="n">
        <v>1</v>
      </c>
      <c r="F44" s="22" t="inlineStr">
        <is>
          <t>trusted</t>
        </is>
      </c>
    </row>
    <row r="45" ht="32" customHeight="1">
      <c r="B45" s="17" t="inlineStr">
        <is>
          <t>SKY-AUD-0007</t>
        </is>
      </c>
      <c r="C45" s="17" t="inlineStr">
        <is>
          <t>Deepfake Video Detection — Forensic Cues</t>
        </is>
      </c>
      <c r="D45" s="21" t="inlineStr">
        <is>
          <t>Visual cues of AI-manipulated video include inconsistent blinking patterns, mismatched lip-audio sync, blurred ear or hair edges, and irregular skin texture near eyes.</t>
        </is>
      </c>
      <c r="E45" s="27" t="n">
        <v>1</v>
      </c>
      <c r="F45" s="17" t="inlineStr">
        <is>
          <t>trusted</t>
        </is>
      </c>
    </row>
    <row r="46" ht="32" customHeight="1">
      <c r="B46" s="22" t="inlineStr">
        <is>
          <t>SKY-AUD-0007</t>
        </is>
      </c>
      <c r="C46" s="22" t="inlineStr">
        <is>
          <t>AI-Generated Voice / Voice Cloning Cues</t>
        </is>
      </c>
      <c r="D46" s="26" t="inlineStr">
        <is>
          <t>Indicators of synthetic voice generation include unnatural cadence, lack of breath sounds, perfectly consistent room tone, and absence of mouth-clicks.</t>
        </is>
      </c>
      <c r="E46" s="28" t="n">
        <v>0.75</v>
      </c>
      <c r="F46" s="22" t="inlineStr">
        <is>
          <t>trusted</t>
        </is>
      </c>
    </row>
    <row r="47" ht="32" customHeight="1">
      <c r="B47" s="17" t="inlineStr">
        <is>
          <t>SKY-AUD-0007</t>
        </is>
      </c>
      <c r="C47" s="17" t="inlineStr">
        <is>
          <t>Regulatory Note — AI Decision Support is Advisory Only</t>
        </is>
      </c>
      <c r="D47" s="21" t="inlineStr">
        <is>
          <t>SKY is an AI-assisted decision-support platform. AI evidence may be used as investigative leads, not as court-admissible proof.</t>
        </is>
      </c>
      <c r="E47" s="27" t="n">
        <v>0.5</v>
      </c>
      <c r="F47" s="17" t="inlineStr">
        <is>
          <t>trusted</t>
        </is>
      </c>
    </row>
    <row r="48" ht="32" customHeight="1">
      <c r="B48" s="22" t="inlineStr">
        <is>
          <t>SKY-IMG-0007</t>
        </is>
      </c>
      <c r="C48" s="22" t="inlineStr">
        <is>
          <t>Snatch Theft / Grab-and-Run Indicators</t>
        </is>
      </c>
      <c r="D48" s="26" t="inlineStr">
        <is>
          <t>Snatch-theft events are characterized by a single rapid approach (often on a two-wheeler), a grabbing motion aimed at a phone/bag/chain, and immediate acceleration away.</t>
        </is>
      </c>
      <c r="E48" s="28" t="n">
        <v>1</v>
      </c>
      <c r="F48" s="22" t="inlineStr">
        <is>
          <t>trusted</t>
        </is>
      </c>
    </row>
    <row r="49" ht="32" customHeight="1">
      <c r="B49" s="17" t="inlineStr">
        <is>
          <t>SKY-IMG-0007</t>
        </is>
      </c>
      <c r="C49" s="17" t="inlineStr">
        <is>
          <t>Shoplifting Behavioral Indicators</t>
        </is>
      </c>
      <c r="D49" s="21" t="inlineStr">
        <is>
          <t>Common shoplifting indicators include prolonged loitering near high-value items, repeated looking at staff or cameras, and hand-to-pocket motions near merchandise.</t>
        </is>
      </c>
      <c r="E49" s="27" t="n">
        <v>0.75</v>
      </c>
      <c r="F49" s="17" t="inlineStr">
        <is>
          <t>trusted</t>
        </is>
      </c>
    </row>
    <row r="50" ht="32" customHeight="1">
      <c r="B50" s="22" t="inlineStr">
        <is>
          <t>SKY-IMG-0007</t>
        </is>
      </c>
      <c r="C50" s="22" t="inlineStr">
        <is>
          <t>Regulatory Note — AI Decision Support is Advisory Only</t>
        </is>
      </c>
      <c r="D50" s="26" t="inlineStr">
        <is>
          <t>SKY is an AI-assisted decision-support platform. AI evidence may be used as investigative leads, not as court-admissible proof.</t>
        </is>
      </c>
      <c r="E50" s="28" t="n">
        <v>0.5</v>
      </c>
      <c r="F50" s="22" t="inlineStr">
        <is>
          <t>trusted</t>
        </is>
      </c>
    </row>
    <row r="51" ht="32" customHeight="1">
      <c r="B51" s="17" t="inlineStr">
        <is>
          <t>SKY-AUD-0008</t>
        </is>
      </c>
      <c r="C51" s="17" t="inlineStr">
        <is>
          <t>Voice Impersonation — Authority Figure</t>
        </is>
      </c>
      <c r="D51" s="21" t="inlineStr">
        <is>
          <t>Callers claiming to be a police officer, judge, CBI agent, or government official who then request money, account access, or sensitive documents should be treated with extreme suspicion.</t>
        </is>
      </c>
      <c r="E51" s="27" t="n">
        <v>1</v>
      </c>
      <c r="F51" s="17" t="inlineStr">
        <is>
          <t>trusted</t>
        </is>
      </c>
    </row>
    <row r="52" ht="32" customHeight="1">
      <c r="B52" s="22" t="inlineStr">
        <is>
          <t>SKY-AUD-0008</t>
        </is>
      </c>
      <c r="C52" s="22" t="inlineStr">
        <is>
          <t>Regulatory Note — AI Decision Support is Advisory Only</t>
        </is>
      </c>
      <c r="D52" s="26" t="inlineStr">
        <is>
          <t>SKY is an AI-assisted decision-support platform. AI evidence may be used as investigative leads, not as court-admissible proof.</t>
        </is>
      </c>
      <c r="E52" s="28" t="n">
        <v>0.75</v>
      </c>
      <c r="F52" s="22" t="inlineStr">
        <is>
          <t>trusted</t>
        </is>
      </c>
    </row>
    <row r="53" ht="32" customHeight="1">
      <c r="B53" s="17" t="inlineStr">
        <is>
          <t>SKY-IMG-0008</t>
        </is>
      </c>
      <c r="C53" s="17" t="inlineStr">
        <is>
          <t>Regulatory Note — AI Decision Support is Advisory Only</t>
        </is>
      </c>
      <c r="D53" s="21" t="inlineStr">
        <is>
          <t>SKY is an AI-assisted decision-support platform. AI evidence may be used as investigative leads, not as court-admissible proof.</t>
        </is>
      </c>
      <c r="E53" s="27" t="n">
        <v>1</v>
      </c>
      <c r="F53" s="17" t="inlineStr">
        <is>
          <t>trusted</t>
        </is>
      </c>
    </row>
    <row r="54" ht="32" customHeight="1">
      <c r="B54" s="22" t="inlineStr">
        <is>
          <t>SKY-AUD-0009</t>
        </is>
      </c>
      <c r="C54" s="22" t="inlineStr">
        <is>
          <t>Fake Refund / Refund-for-Payment Scam</t>
        </is>
      </c>
      <c r="D54" s="26" t="inlineStr">
        <is>
          <t>Caller impersonates an e-commerce support agent offering a refund, then requests screen-sharing apps or SMS-forward codes to 'process' the refund.</t>
        </is>
      </c>
      <c r="E54" s="28" t="n">
        <v>1</v>
      </c>
      <c r="F54" s="22" t="inlineStr">
        <is>
          <t>trusted</t>
        </is>
      </c>
    </row>
    <row r="55" ht="32" customHeight="1">
      <c r="B55" s="17" t="inlineStr">
        <is>
          <t>SKY-AUD-0009</t>
        </is>
      </c>
      <c r="C55" s="17" t="inlineStr">
        <is>
          <t>Lottery / Prize Scam Pattern</t>
        </is>
      </c>
      <c r="D55" s="21" t="inlineStr">
        <is>
          <t>Caller claims the recipient won a prize, then demands an upfront 'processing fee' or 'tax' before releasing non-existent winnings.</t>
        </is>
      </c>
      <c r="E55" s="27" t="n">
        <v>0.75</v>
      </c>
      <c r="F55" s="17" t="inlineStr">
        <is>
          <t>trusted</t>
        </is>
      </c>
    </row>
    <row r="56" ht="32" customHeight="1">
      <c r="B56" s="22" t="inlineStr">
        <is>
          <t>SKY-AUD-0009</t>
        </is>
      </c>
      <c r="C56" s="22" t="inlineStr">
        <is>
          <t>Regulatory Note — AI Decision Support is Advisory Only</t>
        </is>
      </c>
      <c r="D56" s="26" t="inlineStr">
        <is>
          <t>SKY is an AI-assisted decision-support platform. AI evidence may be used as investigative leads, not as court-admissible proof.</t>
        </is>
      </c>
      <c r="E56" s="28" t="n">
        <v>0.5</v>
      </c>
      <c r="F56" s="22" t="inlineStr">
        <is>
          <t>trusted</t>
        </is>
      </c>
    </row>
    <row r="57" ht="32" customHeight="1">
      <c r="B57" s="17" t="inlineStr">
        <is>
          <t>SKY-AUD-0010</t>
        </is>
      </c>
      <c r="C57" s="17" t="inlineStr">
        <is>
          <t>Regulatory Note — AI Decision Support is Advisory Only</t>
        </is>
      </c>
      <c r="D57" s="21" t="inlineStr">
        <is>
          <t>SKY is an AI-assisted decision-support platform. AI evidence may be used as investigative leads, not as court-admissible proof.</t>
        </is>
      </c>
      <c r="E57" s="27" t="n">
        <v>1</v>
      </c>
      <c r="F57" s="17" t="inlineStr">
        <is>
          <t>trusted</t>
        </is>
      </c>
    </row>
    <row r="58" ht="32" customHeight="1">
      <c r="B58" s="22" t="inlineStr">
        <is>
          <t>SKY-VID-0008</t>
        </is>
      </c>
      <c r="C58" s="22" t="inlineStr">
        <is>
          <t>Snatch Theft / Grab-and-Run Indicators</t>
        </is>
      </c>
      <c r="D58" s="26" t="inlineStr">
        <is>
          <t>Snatch-theft events are characterized by a single rapid approach (often on a two-wheeler), a grabbing motion aimed at a phone/bag/chain, and immediate acceleration away.</t>
        </is>
      </c>
      <c r="E58" s="28" t="n">
        <v>1</v>
      </c>
      <c r="F58" s="22" t="inlineStr">
        <is>
          <t>trusted</t>
        </is>
      </c>
    </row>
    <row r="59" ht="32" customHeight="1">
      <c r="B59" s="17" t="inlineStr">
        <is>
          <t>SKY-VID-0008</t>
        </is>
      </c>
      <c r="C59" s="17" t="inlineStr">
        <is>
          <t>Shoplifting Behavioral Indicators</t>
        </is>
      </c>
      <c r="D59" s="21" t="inlineStr">
        <is>
          <t>Common shoplifting indicators include prolonged loitering near high-value items, repeated looking at staff or cameras, and hand-to-pocket motions near merchandise.</t>
        </is>
      </c>
      <c r="E59" s="27" t="n">
        <v>0.75</v>
      </c>
      <c r="F59" s="17" t="inlineStr">
        <is>
          <t>trusted</t>
        </is>
      </c>
    </row>
    <row r="60" ht="32" customHeight="1">
      <c r="B60" s="22" t="inlineStr">
        <is>
          <t>SKY-VID-0008</t>
        </is>
      </c>
      <c r="C60" s="22" t="inlineStr">
        <is>
          <t>Regulatory Note — AI Decision Support is Advisory Only</t>
        </is>
      </c>
      <c r="D60" s="26" t="inlineStr">
        <is>
          <t>SKY is an AI-assisted decision-support platform. AI evidence may be used as investigative leads, not as court-admissible proof.</t>
        </is>
      </c>
      <c r="E60" s="28" t="n">
        <v>0.5</v>
      </c>
      <c r="F60" s="22" t="inlineStr">
        <is>
          <t>trusted</t>
        </is>
      </c>
    </row>
    <row r="61" ht="32" customHeight="1">
      <c r="B61" s="17" t="inlineStr">
        <is>
          <t>SKY-IMG-0009</t>
        </is>
      </c>
      <c r="C61" s="17" t="inlineStr">
        <is>
          <t>Active Violence — Visible Weapon Indicators</t>
        </is>
      </c>
      <c r="D61" s="21" t="inlineStr">
        <is>
          <t>Critical-risk indicators in CCTV footage: visible edged weapon or firearm, raised weapon with intent to strike, multiple individuals engaged in coordinated aggression.</t>
        </is>
      </c>
      <c r="E61" s="27" t="n">
        <v>1</v>
      </c>
      <c r="F61" s="17" t="inlineStr">
        <is>
          <t>trusted</t>
        </is>
      </c>
    </row>
    <row r="62" ht="32" customHeight="1">
      <c r="B62" s="22" t="inlineStr">
        <is>
          <t>SKY-IMG-0009</t>
        </is>
      </c>
      <c r="C62" s="22" t="inlineStr">
        <is>
          <t>Brawl / Public Affray Classification</t>
        </is>
      </c>
      <c r="D62" s="26" t="inlineStr">
        <is>
          <t>Two or more individuals engaged in physical contact with raised fists, kicking, or grappling constitutes public affray. Distinguish from contact sports.</t>
        </is>
      </c>
      <c r="E62" s="28" t="n">
        <v>0.75</v>
      </c>
      <c r="F62" s="22" t="inlineStr">
        <is>
          <t>trusted</t>
        </is>
      </c>
    </row>
    <row r="63" ht="32" customHeight="1">
      <c r="B63" s="17" t="inlineStr">
        <is>
          <t>SKY-IMG-0009</t>
        </is>
      </c>
      <c r="C63" s="17" t="inlineStr">
        <is>
          <t>Regulatory Note — AI Decision Support is Advisory Only</t>
        </is>
      </c>
      <c r="D63" s="21" t="inlineStr">
        <is>
          <t>SKY is an AI-assisted decision-support platform. AI evidence may be used as investigative leads, not as court-admissible proof.</t>
        </is>
      </c>
      <c r="E63" s="27" t="n">
        <v>0.5</v>
      </c>
      <c r="F63" s="17" t="inlineStr">
        <is>
          <t>trusted</t>
        </is>
      </c>
    </row>
    <row r="64" ht="32" customHeight="1">
      <c r="B64" s="22" t="inlineStr">
        <is>
          <t>SKY-AUD-0011</t>
        </is>
      </c>
      <c r="C64" s="22" t="inlineStr">
        <is>
          <t>UPI / Wire Transfer Urgency Fraud Pattern</t>
        </is>
      </c>
      <c r="D64" s="26" t="inlineStr">
        <is>
          <t>Callers demanding immediate UPI transfer or OTP verification often impersonate bank officials. Genuine banking institutions never ask for OTPs over a phone call.</t>
        </is>
      </c>
      <c r="E64" s="28" t="n">
        <v>1</v>
      </c>
      <c r="F64" s="22" t="inlineStr">
        <is>
          <t>trusted</t>
        </is>
      </c>
    </row>
    <row r="65" ht="32" customHeight="1">
      <c r="B65" s="17" t="inlineStr">
        <is>
          <t>SKY-AUD-0011</t>
        </is>
      </c>
      <c r="C65" s="17" t="inlineStr">
        <is>
          <t>Payment Fraud — Card-Not-Present Indicators</t>
        </is>
      </c>
      <c r="D65" s="21" t="inlineStr">
        <is>
          <t>Visual indicators of card-skimming devices include misaligned card slots, hidden pinhole cameras above the keypad, and unusually bulky overlays.</t>
        </is>
      </c>
      <c r="E65" s="27" t="n">
        <v>0.75</v>
      </c>
      <c r="F65" s="17" t="inlineStr">
        <is>
          <t>trusted</t>
        </is>
      </c>
    </row>
    <row r="66" ht="32" customHeight="1">
      <c r="B66" s="22" t="inlineStr">
        <is>
          <t>SKY-AUD-0011</t>
        </is>
      </c>
      <c r="C66" s="22" t="inlineStr">
        <is>
          <t>Regulatory Note — AI Decision Support is Advisory Only</t>
        </is>
      </c>
      <c r="D66" s="26" t="inlineStr">
        <is>
          <t>SKY is an AI-assisted decision-support platform. AI evidence may be used as investigative leads, not as court-admissible proof.</t>
        </is>
      </c>
      <c r="E66" s="28" t="n">
        <v>0.5</v>
      </c>
      <c r="F66" s="22" t="inlineStr">
        <is>
          <t>trusted</t>
        </is>
      </c>
    </row>
    <row r="67" ht="32" customHeight="1">
      <c r="B67" s="17" t="inlineStr">
        <is>
          <t>SKY-VID-0009</t>
        </is>
      </c>
      <c r="C67" s="17" t="inlineStr">
        <is>
          <t>Perimeter Breach After-Hours</t>
        </is>
      </c>
      <c r="D67" s="21" t="inlineStr">
        <is>
          <t>An individual entering a fenced or access-controlled perimeter outside operating hours, especially without visible credentials, is treated as unauthorized entry.</t>
        </is>
      </c>
      <c r="E67" s="27" t="n">
        <v>1</v>
      </c>
      <c r="F67" s="17" t="inlineStr">
        <is>
          <t>trusted</t>
        </is>
      </c>
    </row>
    <row r="68" ht="32" customHeight="1">
      <c r="B68" s="22" t="inlineStr">
        <is>
          <t>SKY-VID-0009</t>
        </is>
      </c>
      <c r="C68" s="22" t="inlineStr">
        <is>
          <t>Regulatory Note — AI Decision Support is Advisory Only</t>
        </is>
      </c>
      <c r="D68" s="26" t="inlineStr">
        <is>
          <t>SKY is an AI-assisted decision-support platform. AI evidence may be used as investigative leads, not as court-admissible proof.</t>
        </is>
      </c>
      <c r="E68" s="28" t="n">
        <v>0.75</v>
      </c>
      <c r="F68" s="22" t="inlineStr">
        <is>
          <t>trusted</t>
        </is>
      </c>
    </row>
    <row r="69" ht="32" customHeight="1">
      <c r="B69" s="17" t="inlineStr">
        <is>
          <t>SKY-IMG-0010</t>
        </is>
      </c>
      <c r="C69" s="17" t="inlineStr">
        <is>
          <t>Road Traffic Accident Indicators</t>
        </is>
      </c>
      <c r="D69" s="21" t="inlineStr">
        <is>
          <t>Two or more vehicles in unusual orientation on a roadway, with debris, airbag deployment, or individuals lying on the ground, constitutes a road traffic accident.</t>
        </is>
      </c>
      <c r="E69" s="27" t="n">
        <v>1</v>
      </c>
      <c r="F69" s="17" t="inlineStr">
        <is>
          <t>trusted</t>
        </is>
      </c>
    </row>
    <row r="70" ht="32" customHeight="1">
      <c r="B70" s="22" t="inlineStr">
        <is>
          <t>SKY-IMG-0010</t>
        </is>
      </c>
      <c r="C70" s="22" t="inlineStr">
        <is>
          <t>Regulatory Note — AI Decision Support is Advisory Only</t>
        </is>
      </c>
      <c r="D70" s="26" t="inlineStr">
        <is>
          <t>SKY is an AI-assisted decision-support platform. AI evidence may be used as investigative leads, not as court-admissible proof.</t>
        </is>
      </c>
      <c r="E70" s="28" t="n">
        <v>0.75</v>
      </c>
      <c r="F70" s="22" t="inlineStr">
        <is>
          <t>trusted</t>
        </is>
      </c>
    </row>
    <row r="71" ht="32" customHeight="1">
      <c r="B71" s="17" t="inlineStr">
        <is>
          <t>SKY-IMG-0011</t>
        </is>
      </c>
      <c r="C71" s="17" t="inlineStr">
        <is>
          <t>Regulatory Note — AI Decision Support is Advisory Only</t>
        </is>
      </c>
      <c r="D71" s="21" t="inlineStr">
        <is>
          <t>SKY is an AI-assisted decision-support platform. AI evidence may be used as investigative leads, not as court-admissible proof.</t>
        </is>
      </c>
      <c r="E71" s="27" t="n">
        <v>1</v>
      </c>
      <c r="F71" s="17" t="inlineStr">
        <is>
          <t>trusted</t>
        </is>
      </c>
    </row>
    <row r="72" ht="32" customHeight="1">
      <c r="B72" s="22" t="inlineStr">
        <is>
          <t>SKY-IMG-0012</t>
        </is>
      </c>
      <c r="C72" s="22" t="inlineStr">
        <is>
          <t>Regulatory Note — AI Decision Support is Advisory Only</t>
        </is>
      </c>
      <c r="D72" s="26" t="inlineStr">
        <is>
          <t>SKY is an AI-assisted decision-support platform. AI evidence may be used as investigative leads, not as court-admissible proof.</t>
        </is>
      </c>
      <c r="E72" s="28" t="n">
        <v>1</v>
      </c>
      <c r="F72" s="22" t="inlineStr">
        <is>
          <t>trusted</t>
        </is>
      </c>
    </row>
    <row r="73" ht="32" customHeight="1">
      <c r="B73" s="17" t="inlineStr">
        <is>
          <t>SKY-IMG-0013</t>
        </is>
      </c>
      <c r="C73" s="17" t="inlineStr">
        <is>
          <t>Road Traffic Accident Indicators</t>
        </is>
      </c>
      <c r="D73" s="21" t="inlineStr">
        <is>
          <t>Two or more vehicles in unusual orientation on a roadway, with debris, airbag deployment, or individuals lying on the ground, constitutes a road traffic accident.</t>
        </is>
      </c>
      <c r="E73" s="27" t="n">
        <v>1</v>
      </c>
      <c r="F73" s="17" t="inlineStr">
        <is>
          <t>trusted</t>
        </is>
      </c>
    </row>
    <row r="74" ht="32" customHeight="1">
      <c r="B74" s="22" t="inlineStr">
        <is>
          <t>SKY-IMG-0013</t>
        </is>
      </c>
      <c r="C74" s="22" t="inlineStr">
        <is>
          <t>Regulatory Note — AI Decision Support is Advisory Only</t>
        </is>
      </c>
      <c r="D74" s="26" t="inlineStr">
        <is>
          <t>SKY is an AI-assisted decision-support platform. AI evidence may be used as investigative leads, not as court-admissible proof.</t>
        </is>
      </c>
      <c r="E74" s="28" t="n">
        <v>0.75</v>
      </c>
      <c r="F74" s="22" t="inlineStr">
        <is>
          <t>trusted</t>
        </is>
      </c>
    </row>
    <row r="75" ht="32" customHeight="1">
      <c r="B75" s="17" t="inlineStr">
        <is>
          <t>SKY-VID-0010</t>
        </is>
      </c>
      <c r="C75" s="17" t="inlineStr">
        <is>
          <t>Road Traffic Accident Indicators</t>
        </is>
      </c>
      <c r="D75" s="21" t="inlineStr">
        <is>
          <t>Two or more vehicles in unusual orientation on a roadway, with debris, airbag deployment, or individuals lying on the ground, constitutes a road traffic accident.</t>
        </is>
      </c>
      <c r="E75" s="27" t="n">
        <v>1</v>
      </c>
      <c r="F75" s="17" t="inlineStr">
        <is>
          <t>trusted</t>
        </is>
      </c>
    </row>
    <row r="76" ht="32" customHeight="1">
      <c r="B76" s="22" t="inlineStr">
        <is>
          <t>SKY-VID-0010</t>
        </is>
      </c>
      <c r="C76" s="22" t="inlineStr">
        <is>
          <t>Regulatory Note — AI Decision Support is Advisory Only</t>
        </is>
      </c>
      <c r="D76" s="26" t="inlineStr">
        <is>
          <t>SKY is an AI-assisted decision-support platform. AI evidence may be used as investigative leads, not as court-admissible proof.</t>
        </is>
      </c>
      <c r="E76" s="28" t="n">
        <v>0.75</v>
      </c>
      <c r="F76" s="22" t="inlineStr">
        <is>
          <t>trusted</t>
        </is>
      </c>
    </row>
    <row r="77" ht="32" customHeight="1">
      <c r="B77" s="17" t="inlineStr">
        <is>
          <t>SKY-IMG-0014</t>
        </is>
      </c>
      <c r="C77" s="17" t="inlineStr">
        <is>
          <t>Regulatory Note — AI Decision Support is Advisory Only</t>
        </is>
      </c>
      <c r="D77" s="21" t="inlineStr">
        <is>
          <t>SKY is an AI-assisted decision-support platform. AI evidence may be used as investigative leads, not as court-admissible proof.</t>
        </is>
      </c>
      <c r="E77" s="27" t="n">
        <v>1</v>
      </c>
      <c r="F77" s="17" t="inlineStr">
        <is>
          <t>trusted</t>
        </is>
      </c>
    </row>
    <row r="78" ht="32" customHeight="1">
      <c r="B78" s="22" t="inlineStr">
        <is>
          <t>SKY-AUD-0012</t>
        </is>
      </c>
      <c r="C78" s="22" t="inlineStr">
        <is>
          <t>Regulatory Note — AI Decision Support is Advisory Only</t>
        </is>
      </c>
      <c r="D78" s="26" t="inlineStr">
        <is>
          <t>SKY is an AI-assisted decision-support platform. AI evidence may be used as investigative leads, not as court-admissible proof.</t>
        </is>
      </c>
      <c r="E78" s="28" t="n">
        <v>1</v>
      </c>
      <c r="F78" s="22" t="inlineStr">
        <is>
          <t>trusted</t>
        </is>
      </c>
    </row>
    <row r="79" ht="32" customHeight="1">
      <c r="B79" s="17" t="inlineStr">
        <is>
          <t>SKY-IMG-0015</t>
        </is>
      </c>
      <c r="C79" s="17" t="inlineStr">
        <is>
          <t>Active Fire — Smoke &amp; Flame Indicators</t>
        </is>
      </c>
      <c r="D79" s="21" t="inlineStr">
        <is>
          <t>Critical-risk fire indicators: visible flame height &gt;0.5m, dense smoke obscuring ceiling-level vision, rapid spread across contiguous material.</t>
        </is>
      </c>
      <c r="E79" s="27" t="n">
        <v>1</v>
      </c>
      <c r="F79" s="17" t="inlineStr">
        <is>
          <t>trusted</t>
        </is>
      </c>
    </row>
    <row r="80" ht="32" customHeight="1">
      <c r="B80" s="22" t="inlineStr">
        <is>
          <t>SKY-IMG-0015</t>
        </is>
      </c>
      <c r="C80" s="22" t="inlineStr">
        <is>
          <t>Regulatory Note — AI Decision Support is Advisory Only</t>
        </is>
      </c>
      <c r="D80" s="26" t="inlineStr">
        <is>
          <t>SKY is an AI-assisted decision-support platform. AI evidence may be used as investigative leads, not as court-admissible proof.</t>
        </is>
      </c>
      <c r="E80" s="28" t="n">
        <v>0.75</v>
      </c>
      <c r="F80" s="22" t="inlineStr">
        <is>
          <t>trusted</t>
        </is>
      </c>
    </row>
    <row r="81" ht="32" customHeight="1">
      <c r="B81" s="17" t="inlineStr">
        <is>
          <t>SKY-AUD-0013</t>
        </is>
      </c>
      <c r="C81" s="17" t="inlineStr">
        <is>
          <t>Fake Refund / Refund-for-Payment Scam</t>
        </is>
      </c>
      <c r="D81" s="21" t="inlineStr">
        <is>
          <t>Caller impersonates an e-commerce support agent offering a refund, then requests screen-sharing apps or SMS-forward codes to 'process' the refund.</t>
        </is>
      </c>
      <c r="E81" s="27" t="n">
        <v>1</v>
      </c>
      <c r="F81" s="17" t="inlineStr">
        <is>
          <t>trusted</t>
        </is>
      </c>
    </row>
    <row r="82" ht="32" customHeight="1">
      <c r="B82" s="22" t="inlineStr">
        <is>
          <t>SKY-AUD-0013</t>
        </is>
      </c>
      <c r="C82" s="22" t="inlineStr">
        <is>
          <t>Lottery / Prize Scam Pattern</t>
        </is>
      </c>
      <c r="D82" s="26" t="inlineStr">
        <is>
          <t>Caller claims the recipient won a prize, then demands an upfront 'processing fee' or 'tax' before releasing non-existent winnings.</t>
        </is>
      </c>
      <c r="E82" s="28" t="n">
        <v>0.75</v>
      </c>
      <c r="F82" s="22" t="inlineStr">
        <is>
          <t>trusted</t>
        </is>
      </c>
    </row>
    <row r="83" ht="32" customHeight="1">
      <c r="B83" s="17" t="inlineStr">
        <is>
          <t>SKY-AUD-0013</t>
        </is>
      </c>
      <c r="C83" s="17" t="inlineStr">
        <is>
          <t>Regulatory Note — AI Decision Support is Advisory Only</t>
        </is>
      </c>
      <c r="D83" s="21" t="inlineStr">
        <is>
          <t>SKY is an AI-assisted decision-support platform. AI evidence may be used as investigative leads, not as court-admissible proof.</t>
        </is>
      </c>
      <c r="E83" s="27" t="n">
        <v>0.5</v>
      </c>
      <c r="F83" s="17" t="inlineStr">
        <is>
          <t>trusted</t>
        </is>
      </c>
    </row>
    <row r="84" ht="32" customHeight="1">
      <c r="B84" s="22" t="inlineStr">
        <is>
          <t>SKY-AUD-0014</t>
        </is>
      </c>
      <c r="C84" s="22" t="inlineStr">
        <is>
          <t>Regulatory Note — AI Decision Support is Advisory Only</t>
        </is>
      </c>
      <c r="D84" s="26" t="inlineStr">
        <is>
          <t>SKY is an AI-assisted decision-support platform. AI evidence may be used as investigative leads, not as court-admissible proof.</t>
        </is>
      </c>
      <c r="E84" s="28" t="n">
        <v>1</v>
      </c>
      <c r="F84" s="22" t="inlineStr">
        <is>
          <t>trusted</t>
        </is>
      </c>
    </row>
    <row r="85" ht="32" customHeight="1">
      <c r="B85" s="17" t="inlineStr">
        <is>
          <t>SKY-IMG-0016</t>
        </is>
      </c>
      <c r="C85" s="17" t="inlineStr">
        <is>
          <t>Active Fire — Smoke &amp; Flame Indicators</t>
        </is>
      </c>
      <c r="D85" s="21" t="inlineStr">
        <is>
          <t>Critical-risk fire indicators: visible flame height &gt;0.5m, dense smoke obscuring ceiling-level vision, rapid spread across contiguous material.</t>
        </is>
      </c>
      <c r="E85" s="27" t="n">
        <v>1</v>
      </c>
      <c r="F85" s="17" t="inlineStr">
        <is>
          <t>trusted</t>
        </is>
      </c>
    </row>
    <row r="86" ht="32" customHeight="1">
      <c r="B86" s="22" t="inlineStr">
        <is>
          <t>SKY-IMG-0016</t>
        </is>
      </c>
      <c r="C86" s="22" t="inlineStr">
        <is>
          <t>Regulatory Note — AI Decision Support is Advisory Only</t>
        </is>
      </c>
      <c r="D86" s="26" t="inlineStr">
        <is>
          <t>SKY is an AI-assisted decision-support platform. AI evidence may be used as investigative leads, not as court-admissible proof.</t>
        </is>
      </c>
      <c r="E86" s="28" t="n">
        <v>0.75</v>
      </c>
      <c r="F86" s="22" t="inlineStr">
        <is>
          <t>trusted</t>
        </is>
      </c>
    </row>
    <row r="87" ht="32" customHeight="1">
      <c r="B87" s="17" t="inlineStr">
        <is>
          <t>SKY-VID-0011</t>
        </is>
      </c>
      <c r="C87" s="17" t="inlineStr">
        <is>
          <t>Perimeter Breach After-Hours</t>
        </is>
      </c>
      <c r="D87" s="21" t="inlineStr">
        <is>
          <t>An individual entering a fenced or access-controlled perimeter outside operating hours, especially without visible credentials, is treated as unauthorized entry.</t>
        </is>
      </c>
      <c r="E87" s="27" t="n">
        <v>1</v>
      </c>
      <c r="F87" s="17" t="inlineStr">
        <is>
          <t>trusted</t>
        </is>
      </c>
    </row>
    <row r="88" ht="32" customHeight="1">
      <c r="B88" s="22" t="inlineStr">
        <is>
          <t>SKY-VID-0011</t>
        </is>
      </c>
      <c r="C88" s="22" t="inlineStr">
        <is>
          <t>Regulatory Note — AI Decision Support is Advisory Only</t>
        </is>
      </c>
      <c r="D88" s="26" t="inlineStr">
        <is>
          <t>SKY is an AI-assisted decision-support platform. AI evidence may be used as investigative leads, not as court-admissible proof.</t>
        </is>
      </c>
      <c r="E88" s="28" t="n">
        <v>0.75</v>
      </c>
      <c r="F88" s="22" t="inlineStr">
        <is>
          <t>trusted</t>
        </is>
      </c>
    </row>
    <row r="89" ht="32" customHeight="1">
      <c r="B89" s="17" t="inlineStr">
        <is>
          <t>SKY-VID-0012</t>
        </is>
      </c>
      <c r="C89" s="17" t="inlineStr">
        <is>
          <t>Regulatory Note — AI Decision Support is Advisory Only</t>
        </is>
      </c>
      <c r="D89" s="21" t="inlineStr">
        <is>
          <t>SKY is an AI-assisted decision-support platform. AI evidence may be used as investigative leads, not as court-admissible proof.</t>
        </is>
      </c>
      <c r="E89" s="27" t="n">
        <v>1</v>
      </c>
      <c r="F89" s="17" t="inlineStr">
        <is>
          <t>trusted</t>
        </is>
      </c>
    </row>
    <row r="90" ht="32" customHeight="1">
      <c r="B90" s="22" t="inlineStr">
        <is>
          <t>SKY-VID-0013</t>
        </is>
      </c>
      <c r="C90" s="22" t="inlineStr">
        <is>
          <t>Active Violence — Visible Weapon Indicators</t>
        </is>
      </c>
      <c r="D90" s="26" t="inlineStr">
        <is>
          <t>Critical-risk indicators in CCTV footage: visible edged weapon or firearm, raised weapon with intent to strike, multiple individuals engaged in coordinated aggression.</t>
        </is>
      </c>
      <c r="E90" s="28" t="n">
        <v>1</v>
      </c>
      <c r="F90" s="22" t="inlineStr">
        <is>
          <t>trusted</t>
        </is>
      </c>
    </row>
    <row r="91" ht="32" customHeight="1">
      <c r="B91" s="17" t="inlineStr">
        <is>
          <t>SKY-VID-0013</t>
        </is>
      </c>
      <c r="C91" s="17" t="inlineStr">
        <is>
          <t>Brawl / Public Affray Classification</t>
        </is>
      </c>
      <c r="D91" s="21" t="inlineStr">
        <is>
          <t>Two or more individuals engaged in physical contact with raised fists, kicking, or grappling constitutes public affray. Distinguish from contact sports.</t>
        </is>
      </c>
      <c r="E91" s="27" t="n">
        <v>0.75</v>
      </c>
      <c r="F91" s="17" t="inlineStr">
        <is>
          <t>trusted</t>
        </is>
      </c>
    </row>
    <row r="92" ht="32" customHeight="1">
      <c r="B92" s="22" t="inlineStr">
        <is>
          <t>SKY-VID-0013</t>
        </is>
      </c>
      <c r="C92" s="22" t="inlineStr">
        <is>
          <t>Regulatory Note — AI Decision Support is Advisory Only</t>
        </is>
      </c>
      <c r="D92" s="26" t="inlineStr">
        <is>
          <t>SKY is an AI-assisted decision-support platform. AI evidence may be used as investigative leads, not as court-admissible proof.</t>
        </is>
      </c>
      <c r="E92" s="28" t="n">
        <v>0.5</v>
      </c>
      <c r="F92" s="22" t="inlineStr">
        <is>
          <t>trusted</t>
        </is>
      </c>
    </row>
    <row r="93" ht="32" customHeight="1">
      <c r="B93" s="17" t="inlineStr">
        <is>
          <t>SKY-VID-0014</t>
        </is>
      </c>
      <c r="C93" s="17" t="inlineStr">
        <is>
          <t>Regulatory Note — AI Decision Support is Advisory Only</t>
        </is>
      </c>
      <c r="D93" s="21" t="inlineStr">
        <is>
          <t>SKY is an AI-assisted decision-support platform. AI evidence may be used as investigative leads, not as court-admissible proof.</t>
        </is>
      </c>
      <c r="E93" s="27" t="n">
        <v>1</v>
      </c>
      <c r="F93" s="17" t="inlineStr">
        <is>
          <t>trusted</t>
        </is>
      </c>
    </row>
    <row r="94" ht="32" customHeight="1">
      <c r="B94" s="22" t="inlineStr">
        <is>
          <t>SKY-VID-0015</t>
        </is>
      </c>
      <c r="C94" s="22" t="inlineStr">
        <is>
          <t>Snatch Theft / Grab-and-Run Indicators</t>
        </is>
      </c>
      <c r="D94" s="26" t="inlineStr">
        <is>
          <t>Snatch-theft events are characterized by a single rapid approach (often on a two-wheeler), a grabbing motion aimed at a phone/bag/chain, and immediate acceleration away.</t>
        </is>
      </c>
      <c r="E94" s="28" t="n">
        <v>1</v>
      </c>
      <c r="F94" s="22" t="inlineStr">
        <is>
          <t>trusted</t>
        </is>
      </c>
    </row>
    <row r="95" ht="32" customHeight="1">
      <c r="B95" s="17" t="inlineStr">
        <is>
          <t>SKY-VID-0015</t>
        </is>
      </c>
      <c r="C95" s="17" t="inlineStr">
        <is>
          <t>Shoplifting Behavioral Indicators</t>
        </is>
      </c>
      <c r="D95" s="21" t="inlineStr">
        <is>
          <t>Common shoplifting indicators include prolonged loitering near high-value items, repeated looking at staff or cameras, and hand-to-pocket motions near merchandise.</t>
        </is>
      </c>
      <c r="E95" s="27" t="n">
        <v>0.75</v>
      </c>
      <c r="F95" s="17" t="inlineStr">
        <is>
          <t>trusted</t>
        </is>
      </c>
    </row>
    <row r="96" ht="32" customHeight="1">
      <c r="B96" s="22" t="inlineStr">
        <is>
          <t>SKY-VID-0015</t>
        </is>
      </c>
      <c r="C96" s="22" t="inlineStr">
        <is>
          <t>Regulatory Note — AI Decision Support is Advisory Only</t>
        </is>
      </c>
      <c r="D96" s="26" t="inlineStr">
        <is>
          <t>SKY is an AI-assisted decision-support platform. AI evidence may be used as investigative leads, not as court-admissible proof.</t>
        </is>
      </c>
      <c r="E96" s="28" t="n">
        <v>0.5</v>
      </c>
      <c r="F96" s="22" t="inlineStr">
        <is>
          <t>trusted</t>
        </is>
      </c>
    </row>
    <row r="97" ht="32" customHeight="1">
      <c r="B97" s="17" t="inlineStr">
        <is>
          <t>SKY-IMG-0017</t>
        </is>
      </c>
      <c r="C97" s="17" t="inlineStr">
        <is>
          <t>Snatch Theft / Grab-and-Run Indicators</t>
        </is>
      </c>
      <c r="D97" s="21" t="inlineStr">
        <is>
          <t>Snatch-theft events are characterized by a single rapid approach (often on a two-wheeler), a grabbing motion aimed at a phone/bag/chain, and immediate acceleration away.</t>
        </is>
      </c>
      <c r="E97" s="27" t="n">
        <v>1</v>
      </c>
      <c r="F97" s="17" t="inlineStr">
        <is>
          <t>trusted</t>
        </is>
      </c>
    </row>
    <row r="98" ht="32" customHeight="1">
      <c r="B98" s="22" t="inlineStr">
        <is>
          <t>SKY-IMG-0017</t>
        </is>
      </c>
      <c r="C98" s="22" t="inlineStr">
        <is>
          <t>Shoplifting Behavioral Indicators</t>
        </is>
      </c>
      <c r="D98" s="26" t="inlineStr">
        <is>
          <t>Common shoplifting indicators include prolonged loitering near high-value items, repeated looking at staff or cameras, and hand-to-pocket motions near merchandise.</t>
        </is>
      </c>
      <c r="E98" s="28" t="n">
        <v>0.75</v>
      </c>
      <c r="F98" s="22" t="inlineStr">
        <is>
          <t>trusted</t>
        </is>
      </c>
    </row>
    <row r="99" ht="32" customHeight="1">
      <c r="B99" s="17" t="inlineStr">
        <is>
          <t>SKY-IMG-0017</t>
        </is>
      </c>
      <c r="C99" s="17" t="inlineStr">
        <is>
          <t>Regulatory Note — AI Decision Support is Advisory Only</t>
        </is>
      </c>
      <c r="D99" s="21" t="inlineStr">
        <is>
          <t>SKY is an AI-assisted decision-support platform. AI evidence may be used as investigative leads, not as court-admissible proof.</t>
        </is>
      </c>
      <c r="E99" s="27" t="n">
        <v>0.5</v>
      </c>
      <c r="F99" s="17" t="inlineStr">
        <is>
          <t>trusted</t>
        </is>
      </c>
    </row>
    <row r="100" ht="32" customHeight="1">
      <c r="B100" s="22" t="inlineStr">
        <is>
          <t>SKY-VID-0016</t>
        </is>
      </c>
      <c r="C100" s="22" t="inlineStr">
        <is>
          <t>Deepfake Video Detection — Forensic Cues</t>
        </is>
      </c>
      <c r="D100" s="26" t="inlineStr">
        <is>
          <t>Visual cues of AI-manipulated video include inconsistent blinking patterns, mismatched lip-audio sync, blurred ear or hair edges, and irregular skin texture near eyes.</t>
        </is>
      </c>
      <c r="E100" s="28" t="n">
        <v>1</v>
      </c>
      <c r="F100" s="22" t="inlineStr">
        <is>
          <t>trusted</t>
        </is>
      </c>
    </row>
    <row r="101" ht="32" customHeight="1">
      <c r="B101" s="17" t="inlineStr">
        <is>
          <t>SKY-VID-0016</t>
        </is>
      </c>
      <c r="C101" s="17" t="inlineStr">
        <is>
          <t>AI-Generated Voice / Voice Cloning Cues</t>
        </is>
      </c>
      <c r="D101" s="21" t="inlineStr">
        <is>
          <t>Indicators of synthetic voice generation include unnatural cadence, lack of breath sounds, perfectly consistent room tone, and absence of mouth-clicks.</t>
        </is>
      </c>
      <c r="E101" s="27" t="n">
        <v>0.75</v>
      </c>
      <c r="F101" s="17" t="inlineStr">
        <is>
          <t>trusted</t>
        </is>
      </c>
    </row>
    <row r="102" ht="32" customHeight="1">
      <c r="B102" s="22" t="inlineStr">
        <is>
          <t>SKY-VID-0016</t>
        </is>
      </c>
      <c r="C102" s="22" t="inlineStr">
        <is>
          <t>Regulatory Note — AI Decision Support is Advisory Only</t>
        </is>
      </c>
      <c r="D102" s="26" t="inlineStr">
        <is>
          <t>SKY is an AI-assisted decision-support platform. AI evidence may be used as investigative leads, not as court-admissible proof.</t>
        </is>
      </c>
      <c r="E102" s="28" t="n">
        <v>0.5</v>
      </c>
      <c r="F102" s="22" t="inlineStr">
        <is>
          <t>trusted</t>
        </is>
      </c>
    </row>
    <row r="103" ht="32" customHeight="1">
      <c r="B103" s="17" t="inlineStr">
        <is>
          <t>SKY-IMG-0018</t>
        </is>
      </c>
      <c r="C103" s="17" t="inlineStr">
        <is>
          <t>Active Violence — Visible Weapon Indicators</t>
        </is>
      </c>
      <c r="D103" s="21" t="inlineStr">
        <is>
          <t>Critical-risk indicators in CCTV footage: visible edged weapon or firearm, raised weapon with intent to strike, multiple individuals engaged in coordinated aggression.</t>
        </is>
      </c>
      <c r="E103" s="27" t="n">
        <v>1</v>
      </c>
      <c r="F103" s="17" t="inlineStr">
        <is>
          <t>trusted</t>
        </is>
      </c>
    </row>
    <row r="104" ht="32" customHeight="1">
      <c r="B104" s="22" t="inlineStr">
        <is>
          <t>SKY-IMG-0018</t>
        </is>
      </c>
      <c r="C104" s="22" t="inlineStr">
        <is>
          <t>Brawl / Public Affray Classification</t>
        </is>
      </c>
      <c r="D104" s="26" t="inlineStr">
        <is>
          <t>Two or more individuals engaged in physical contact with raised fists, kicking, or grappling constitutes public affray. Distinguish from contact sports.</t>
        </is>
      </c>
      <c r="E104" s="28" t="n">
        <v>0.75</v>
      </c>
      <c r="F104" s="22" t="inlineStr">
        <is>
          <t>trusted</t>
        </is>
      </c>
    </row>
    <row r="105" ht="32" customHeight="1">
      <c r="B105" s="17" t="inlineStr">
        <is>
          <t>SKY-IMG-0018</t>
        </is>
      </c>
      <c r="C105" s="17" t="inlineStr">
        <is>
          <t>Regulatory Note — AI Decision Support is Advisory Only</t>
        </is>
      </c>
      <c r="D105" s="21" t="inlineStr">
        <is>
          <t>SKY is an AI-assisted decision-support platform. AI evidence may be used as investigative leads, not as court-admissible proof.</t>
        </is>
      </c>
      <c r="E105" s="27" t="n">
        <v>0.5</v>
      </c>
      <c r="F105" s="17" t="inlineStr">
        <is>
          <t>trusted</t>
        </is>
      </c>
    </row>
    <row r="106" ht="32" customHeight="1">
      <c r="B106" s="22" t="inlineStr">
        <is>
          <t>SKY-VID-0017</t>
        </is>
      </c>
      <c r="C106" s="22" t="inlineStr">
        <is>
          <t>Road Traffic Accident Indicators</t>
        </is>
      </c>
      <c r="D106" s="26" t="inlineStr">
        <is>
          <t>Two or more vehicles in unusual orientation on a roadway, with debris, airbag deployment, or individuals lying on the ground, constitutes a road traffic accident.</t>
        </is>
      </c>
      <c r="E106" s="28" t="n">
        <v>1</v>
      </c>
      <c r="F106" s="22" t="inlineStr">
        <is>
          <t>trusted</t>
        </is>
      </c>
    </row>
    <row r="107" ht="32" customHeight="1">
      <c r="B107" s="17" t="inlineStr">
        <is>
          <t>SKY-VID-0017</t>
        </is>
      </c>
      <c r="C107" s="17" t="inlineStr">
        <is>
          <t>Regulatory Note — AI Decision Support is Advisory Only</t>
        </is>
      </c>
      <c r="D107" s="21" t="inlineStr">
        <is>
          <t>SKY is an AI-assisted decision-support platform. AI evidence may be used as investigative leads, not as court-admissible proof.</t>
        </is>
      </c>
      <c r="E107" s="27" t="n">
        <v>0.75</v>
      </c>
      <c r="F107" s="17" t="inlineStr">
        <is>
          <t>trusted</t>
        </is>
      </c>
    </row>
    <row r="108" ht="32" customHeight="1">
      <c r="B108" s="22" t="inlineStr">
        <is>
          <t>SKY-IMG-0019</t>
        </is>
      </c>
      <c r="C108" s="22" t="inlineStr">
        <is>
          <t>Active Violence — Visible Weapon Indicators</t>
        </is>
      </c>
      <c r="D108" s="26" t="inlineStr">
        <is>
          <t>Critical-risk indicators in CCTV footage: visible edged weapon or firearm, raised weapon with intent to strike, multiple individuals engaged in coordinated aggression.</t>
        </is>
      </c>
      <c r="E108" s="28" t="n">
        <v>1</v>
      </c>
      <c r="F108" s="22" t="inlineStr">
        <is>
          <t>trusted</t>
        </is>
      </c>
    </row>
    <row r="109" ht="32" customHeight="1">
      <c r="B109" s="17" t="inlineStr">
        <is>
          <t>SKY-IMG-0019</t>
        </is>
      </c>
      <c r="C109" s="17" t="inlineStr">
        <is>
          <t>Brawl / Public Affray Classification</t>
        </is>
      </c>
      <c r="D109" s="21" t="inlineStr">
        <is>
          <t>Two or more individuals engaged in physical contact with raised fists, kicking, or grappling constitutes public affray. Distinguish from contact sports.</t>
        </is>
      </c>
      <c r="E109" s="27" t="n">
        <v>0.75</v>
      </c>
      <c r="F109" s="17" t="inlineStr">
        <is>
          <t>trusted</t>
        </is>
      </c>
    </row>
    <row r="110" ht="32" customHeight="1">
      <c r="B110" s="22" t="inlineStr">
        <is>
          <t>SKY-IMG-0019</t>
        </is>
      </c>
      <c r="C110" s="22" t="inlineStr">
        <is>
          <t>Regulatory Note — AI Decision Support is Advisory Only</t>
        </is>
      </c>
      <c r="D110" s="26" t="inlineStr">
        <is>
          <t>SKY is an AI-assisted decision-support platform. AI evidence may be used as investigative leads, not as court-admissible proof.</t>
        </is>
      </c>
      <c r="E110" s="28" t="n">
        <v>0.5</v>
      </c>
      <c r="F110" s="22" t="inlineStr">
        <is>
          <t>trusted</t>
        </is>
      </c>
    </row>
  </sheetData>
  <autoFilter ref="B4:F110"/>
  <mergeCells count="1">
    <mergeCell ref="B2:F2"/>
  </mergeCells>
  <conditionalFormatting sqref="E5:E110">
    <cfRule type="dataBar" priority="1">
      <dataBar showValue="1">
        <cfvo type="num" val="0"/>
        <cfvo type="num" val="1"/>
        <color rgb="001B2A4A"/>
      </dataBar>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1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50" customWidth="1" min="3" max="3"/>
    <col width="22" customWidth="1" min="4" max="4"/>
    <col width="60" customWidth="1" min="5" max="5"/>
  </cols>
  <sheetData>
    <row r="1" ht="15" customHeight="1"/>
    <row r="2" ht="32" customHeight="1">
      <c r="B2" s="1" t="inlineStr">
        <is>
          <t>SKY Security Categories Reference</t>
        </is>
      </c>
    </row>
    <row r="3" ht="8" customHeight="1"/>
    <row r="4" ht="28" customHeight="1">
      <c r="B4" s="16" t="inlineStr">
        <is>
          <t>Category</t>
        </is>
      </c>
      <c r="C4" s="16" t="inlineStr">
        <is>
          <t>Description</t>
        </is>
      </c>
      <c r="D4" s="16" t="inlineStr">
        <is>
          <t>Typical Risk Range</t>
        </is>
      </c>
      <c r="E4" s="16" t="inlineStr">
        <is>
          <t>Recommended Action</t>
        </is>
      </c>
    </row>
    <row r="5" ht="38" customHeight="1">
      <c r="B5" s="17" t="inlineStr">
        <is>
          <t>fraud</t>
        </is>
      </c>
      <c r="C5" s="21" t="inlineStr">
        <is>
          <t>Payment fraud, card-skimming, UPI scams, OTP theft</t>
        </is>
      </c>
      <c r="D5" s="17" t="inlineStr">
        <is>
          <t>Moderate to Critical</t>
        </is>
      </c>
      <c r="E5" s="21" t="inlineStr">
        <is>
          <t>Dispatch bank security. Preserve device for fingerprinting. File cybercrime report.</t>
        </is>
      </c>
    </row>
    <row r="6" ht="38" customHeight="1">
      <c r="B6" s="22" t="inlineStr">
        <is>
          <t>scam</t>
        </is>
      </c>
      <c r="C6" s="26" t="inlineStr">
        <is>
          <t>Refund scam, lottery scam, tech-support scam, screen-share scam</t>
        </is>
      </c>
      <c r="D6" s="22" t="inlineStr">
        <is>
          <t>High</t>
        </is>
      </c>
      <c r="E6" s="26" t="inlineStr">
        <is>
          <t>Instruct victim to disconnect. Block caller. Report to cybercrime portal and platform abuse team.</t>
        </is>
      </c>
    </row>
    <row r="7" ht="38" customHeight="1">
      <c r="B7" s="17" t="inlineStr">
        <is>
          <t>violence</t>
        </is>
      </c>
      <c r="C7" s="21" t="inlineStr">
        <is>
          <t>Physical assault, brawl, raised weapons, active shooter</t>
        </is>
      </c>
      <c r="D7" s="17" t="inlineStr">
        <is>
          <t>High to Critical</t>
        </is>
      </c>
      <c r="E7" s="21" t="inlineStr">
        <is>
          <t>Immediate law-enforcement dispatch. Lock-down adjacent premises. Preserve footage chain-of-custody.</t>
        </is>
      </c>
    </row>
    <row r="8" ht="38" customHeight="1">
      <c r="B8" s="22" t="inlineStr">
        <is>
          <t>theft</t>
        </is>
      </c>
      <c r="C8" s="26" t="inlineStr">
        <is>
          <t>Snatch-theft, shoplifting, pickpocketing, grab-and-run</t>
        </is>
      </c>
      <c r="D8" s="22" t="inlineStr">
        <is>
          <t>Moderate to High</t>
        </is>
      </c>
      <c r="E8" s="26" t="inlineStr">
        <is>
          <t>Dispatch patrol. Trace vehicle registration. Cross-reference CCTV continuity at adjacent junctions.</t>
        </is>
      </c>
    </row>
    <row r="9" ht="38" customHeight="1">
      <c r="B9" s="17" t="inlineStr">
        <is>
          <t>unauthorized-entry</t>
        </is>
      </c>
      <c r="C9" s="21" t="inlineStr">
        <is>
          <t>Perimeter breach, intrusion, tailgating, after-hours entry</t>
        </is>
      </c>
      <c r="D9" s="17" t="inlineStr">
        <is>
          <t>Moderate to High</t>
        </is>
      </c>
      <c r="E9" s="21" t="inlineStr">
        <is>
          <t>Dispatch security patrol. Illuminate zone. Two-way audio contact. Notify site admin.</t>
        </is>
      </c>
    </row>
    <row r="10" ht="38" customHeight="1">
      <c r="B10" s="22" t="inlineStr">
        <is>
          <t>fire</t>
        </is>
      </c>
      <c r="C10" s="26" t="inlineStr">
        <is>
          <t>Active fire, smoke, arson, industrial fire</t>
        </is>
      </c>
      <c r="D10" s="22" t="inlineStr">
        <is>
          <t>Critical</t>
        </is>
      </c>
      <c r="E10" s="26" t="inlineStr">
        <is>
          <t>Trigger fire-alarm chain. Dispatch fire brigade. Evacuate zone. Disable HVAC.</t>
        </is>
      </c>
    </row>
    <row r="11" ht="38" customHeight="1">
      <c r="B11" s="17" t="inlineStr">
        <is>
          <t>accident</t>
        </is>
      </c>
      <c r="C11" s="21" t="inlineStr">
        <is>
          <t>Vehicle collision, hit-and-run, pedestrian struck, industrial accident</t>
        </is>
      </c>
      <c r="D11" s="17" t="inlineStr">
        <is>
          <t>Moderate to High</t>
        </is>
      </c>
      <c r="E11" s="21" t="inlineStr">
        <is>
          <t>Dispatch ambulance and traffic police. Secure scene. Divert upstream traffic.</t>
        </is>
      </c>
    </row>
    <row r="12" ht="38" customHeight="1">
      <c r="B12" s="22" t="inlineStr">
        <is>
          <t>impersonation</t>
        </is>
      </c>
      <c r="C12" s="26" t="inlineStr">
        <is>
          <t>Voice impersonation of authority figures, fake officials</t>
        </is>
      </c>
      <c r="D12" s="22" t="inlineStr">
        <is>
          <t>High</t>
        </is>
      </c>
      <c r="E12" s="26" t="inlineStr">
        <is>
          <t>Instruct victim to verify via known-good number. File cybercrime report. Do not act on caller's demands.</t>
        </is>
      </c>
    </row>
    <row r="13" ht="38" customHeight="1">
      <c r="B13" s="17" t="inlineStr">
        <is>
          <t>manipulated-media</t>
        </is>
      </c>
      <c r="C13" s="21" t="inlineStr">
        <is>
          <t>Deepfake video, voice cloning, AI-generated content</t>
        </is>
      </c>
      <c r="D13" s="17" t="inlineStr">
        <is>
          <t>High to Critical</t>
        </is>
      </c>
      <c r="E13" s="21" t="inlineStr">
        <is>
          <t>Preserve original file (do not re-encode). Request source recording for forensic comparison. Do not publish until verified.</t>
        </is>
      </c>
    </row>
    <row r="14" ht="38" customHeight="1">
      <c r="B14" s="22" t="inlineStr">
        <is>
          <t>regulation</t>
        </is>
      </c>
      <c r="C14" s="26" t="inlineStr">
        <is>
          <t>Regulatory SOPs, evidence handling, advisory-only disclaimers</t>
        </is>
      </c>
      <c r="D14" s="22" t="inlineStr">
        <is>
          <t>Low (advisory)</t>
        </is>
      </c>
      <c r="E14" s="26" t="inlineStr">
        <is>
          <t>Apply SOP. Ensure human review before any enforcement action. Maintain audit log.</t>
        </is>
      </c>
    </row>
    <row r="15" ht="38" customHeight="1">
      <c r="B15" s="17" t="inlineStr">
        <is>
          <t>other</t>
        </is>
      </c>
      <c r="C15" s="21" t="inlineStr">
        <is>
          <t>False positives, benign activity, edge cases</t>
        </is>
      </c>
      <c r="D15" s="17" t="inlineStr">
        <is>
          <t>Low</t>
        </is>
      </c>
      <c r="E15" s="21" t="inlineStr">
        <is>
          <t>Log incident. Mark as benign/false-positive. Review classifier thresholds if pattern repeats.</t>
        </is>
      </c>
    </row>
  </sheetData>
  <mergeCells count="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 — SKY Platform</dc:creator>
  <dc:title xmlns:dc="http://purl.org/dc/elements/1.1/">SKY Incidents Dataset</dc:title>
  <dcterms:created xmlns:dcterms="http://purl.org/dc/terms/" xmlns:xsi="http://www.w3.org/2001/XMLSchema-instance" xsi:type="dcterms:W3CDTF">2026-09-17T04:56:02Z</dcterms:created>
  <dcterms:modified xmlns:dcterms="http://purl.org/dc/terms/" xmlns:xsi="http://www.w3.org/2001/XMLSchema-instance" xsi:type="dcterms:W3CDTF">2026-09-17T04:56:02Z</dcterms:modified>
</cp:coreProperties>
</file>